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-files-01\Datos2\Inteligencia de Negocios\Analisis de Datos\03. Masters &amp; Datamarks\MAST05. Master Analytics\03_Diccionario de datos\"/>
    </mc:Choice>
  </mc:AlternateContent>
  <xr:revisionPtr revIDLastSave="0" documentId="8_{321BF8E1-E444-407F-B80D-D8E3F2411331}" xr6:coauthVersionLast="47" xr6:coauthVersionMax="47" xr10:uidLastSave="{00000000-0000-0000-0000-000000000000}"/>
  <bookViews>
    <workbookView xWindow="0" yWindow="0" windowWidth="23040" windowHeight="9540" xr2:uid="{6B0F2921-0EA5-45EB-B16C-D056F979AC9A}"/>
  </bookViews>
  <sheets>
    <sheet name="Variables" sheetId="3" r:id="rId1"/>
    <sheet name="Especificaciones" sheetId="4" r:id="rId2"/>
  </sheets>
  <definedNames>
    <definedName name="_xlnm._FilterDatabase" localSheetId="0" hidden="1">Variables!$A$1:$H$1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2" i="3"/>
</calcChain>
</file>

<file path=xl/sharedStrings.xml><?xml version="1.0" encoding="utf-8"?>
<sst xmlns="http://schemas.openxmlformats.org/spreadsheetml/2006/main" count="1742" uniqueCount="797">
  <si>
    <t>ID</t>
  </si>
  <si>
    <t>Categoría</t>
  </si>
  <si>
    <t>Tipo</t>
  </si>
  <si>
    <t>Variable</t>
  </si>
  <si>
    <t xml:space="preserve">Descripción </t>
  </si>
  <si>
    <t>Niveles</t>
  </si>
  <si>
    <t>Observaciones</t>
  </si>
  <si>
    <t>Tablas</t>
  </si>
  <si>
    <t>CANALES DIGITALES</t>
  </si>
  <si>
    <t>int</t>
  </si>
  <si>
    <t>ENROLL_FLAG</t>
  </si>
  <si>
    <t>Indica si tiene usuario para ingresar a canales digitales</t>
  </si>
  <si>
    <t>Master Clientes, Master Empresas</t>
  </si>
  <si>
    <t>date</t>
  </si>
  <si>
    <t>FEC_ENROLL</t>
  </si>
  <si>
    <t>Fecha en que se le asignó usuario para canales digitales</t>
  </si>
  <si>
    <t>Master Clientes</t>
  </si>
  <si>
    <t>RELEMPRESARIAL_FLAG</t>
  </si>
  <si>
    <t>Indica si esta enrrolado para uso de aplicaciones empresariales</t>
  </si>
  <si>
    <t>DEMOGRAFICO</t>
  </si>
  <si>
    <t>varchar</t>
  </si>
  <si>
    <t>COD_CLIENTE</t>
  </si>
  <si>
    <t>Código único definido por el Banco que identifica a cada cliente</t>
  </si>
  <si>
    <t>Master Analytics, Master Clientes, Master Empresas</t>
  </si>
  <si>
    <t>Número de identificación Física/Jurídica del cliente</t>
  </si>
  <si>
    <t>ID_CATEGORIA</t>
  </si>
  <si>
    <t>Tipo de identificación del cliente</t>
  </si>
  <si>
    <t>DIMEX, NACIONAL</t>
  </si>
  <si>
    <t>Master Analytics, Master Clientes</t>
  </si>
  <si>
    <t>NOMBRE</t>
  </si>
  <si>
    <t>Nombre completo del cliente</t>
  </si>
  <si>
    <t>SEXO</t>
  </si>
  <si>
    <t>Sexo del Cliente</t>
  </si>
  <si>
    <t>FEMENINO, MASCULINO</t>
  </si>
  <si>
    <t>EDAD</t>
  </si>
  <si>
    <t>Edad del cliente</t>
  </si>
  <si>
    <t>ESTADO_CIVIL</t>
  </si>
  <si>
    <t>Estado civil del cliente</t>
  </si>
  <si>
    <t>CASADO, DIVORCIADO, OTROS, RECONCILIACION JUDICIAL, SEPARADO(A), SEPARADO(A) JUDICIAL, SOLTERO, UNION LIBRE, VIUDO</t>
  </si>
  <si>
    <t>PROFESION</t>
  </si>
  <si>
    <t>Profesión registrada por el cliente</t>
  </si>
  <si>
    <t>PROFESION_CATEGORIA</t>
  </si>
  <si>
    <t>Categoría de la profesión del cliente</t>
  </si>
  <si>
    <t>Master Analytics</t>
  </si>
  <si>
    <t>GRADO_ACADEMICO</t>
  </si>
  <si>
    <t>Grado académico obtenido por el cliente</t>
  </si>
  <si>
    <t>NIVEL_EDUCATIVO</t>
  </si>
  <si>
    <t>Nivel educativo máximo obtenido por el cliente</t>
  </si>
  <si>
    <t>ALTO, MEDIO, BAJO</t>
  </si>
  <si>
    <t>NACIONALIDAD</t>
  </si>
  <si>
    <t>Nacionalidad del cliente</t>
  </si>
  <si>
    <t>GENERACION</t>
  </si>
  <si>
    <t>Generación a la que pertenece el cliente</t>
  </si>
  <si>
    <t>HIJOS</t>
  </si>
  <si>
    <t>Cantidad de hijos que tiene el cliente</t>
  </si>
  <si>
    <t>EDAD_HIJO_MENOR</t>
  </si>
  <si>
    <t>Edad del hijo menor del cliente</t>
  </si>
  <si>
    <t>EDAD_PADRE_MAYOR</t>
  </si>
  <si>
    <t>Edad del padre que tenga la mayor edad (Madre o padre) del cliente</t>
  </si>
  <si>
    <t>ID_PATRONO</t>
  </si>
  <si>
    <t>ID del patrono para quien labora el cliente</t>
  </si>
  <si>
    <t>NOM_PATRONO</t>
  </si>
  <si>
    <t>Nombre del patrono donde labora el cliente</t>
  </si>
  <si>
    <t>SECTOR_PUBLICO_FLAG</t>
  </si>
  <si>
    <t>Indica si el cliente labora para el sector público</t>
  </si>
  <si>
    <t>real</t>
  </si>
  <si>
    <t>ANTIGUEDAD_LABORAL</t>
  </si>
  <si>
    <t>Antigüedad laboral del cliente</t>
  </si>
  <si>
    <t>TIPO_CLIENTE</t>
  </si>
  <si>
    <t xml:space="preserve">Indica el tipo de cliente </t>
  </si>
  <si>
    <t>Física, Jurídica</t>
  </si>
  <si>
    <t>CORREO_ELECTRONICO</t>
  </si>
  <si>
    <t>Correo electrónico del cliente</t>
  </si>
  <si>
    <t>TELEFONO</t>
  </si>
  <si>
    <t>Número telefónico del cliente</t>
  </si>
  <si>
    <t>TIPO_PLAN</t>
  </si>
  <si>
    <t xml:space="preserve">Tipo de plan que posee el cliente </t>
  </si>
  <si>
    <t>PLATINUM, UPSCALE, CLÁSICO, ORO, MICRO CREDITO</t>
  </si>
  <si>
    <t>FEC_NACIMIENTO</t>
  </si>
  <si>
    <t>Fecha de nacimiento o fecha de inscripción en caso de ser persona Jurídica</t>
  </si>
  <si>
    <t>dd/mm/yyyy</t>
  </si>
  <si>
    <t>FUENTE_INGRESOS</t>
  </si>
  <si>
    <t xml:space="preserve">Indica la fuente de ingresos </t>
  </si>
  <si>
    <t>INFORMALIDAD, INDEPENDIENTE, ASALARIADO</t>
  </si>
  <si>
    <t>EMPRESAS</t>
  </si>
  <si>
    <t>GIE_NOM</t>
  </si>
  <si>
    <t>Grupo de Interés al que pertenece el cliente jurídico</t>
  </si>
  <si>
    <t>Versión anterior: NOM_GRUPO</t>
  </si>
  <si>
    <t>Master Empresas</t>
  </si>
  <si>
    <t>GRUPO_HUELLA_FLAG</t>
  </si>
  <si>
    <t>Indica si el cliente jurídico es una empresa del Grupo Huella</t>
  </si>
  <si>
    <t>COD_REPRESENTANTE_LEGAL</t>
  </si>
  <si>
    <t>Código único que identifica al cliente que es representante legal del cliente jurídico</t>
  </si>
  <si>
    <t>SEXO_REPRESENTANTE_LEGAL</t>
  </si>
  <si>
    <t>Sexo del representante legal del cliente jurídico</t>
  </si>
  <si>
    <t>ITE</t>
  </si>
  <si>
    <t>Indicador Tamaño Empresa</t>
  </si>
  <si>
    <t>EMPLEADOS</t>
  </si>
  <si>
    <t>Cantidad de empleados de la empresa</t>
  </si>
  <si>
    <t>ACTIVIDAD_ECONOMICA</t>
  </si>
  <si>
    <t>Actividad económica que desempeña el cliente jurídico</t>
  </si>
  <si>
    <t>SUBACTIVIDAD_ECONOMICA</t>
  </si>
  <si>
    <t>Subactividd económica que desempeña el cliente jurídico</t>
  </si>
  <si>
    <t>TIPO_EMPRESA</t>
  </si>
  <si>
    <t>Clasificación de personas Jurídicas de acuerdo a su registro</t>
  </si>
  <si>
    <t>REPRESENTANTE_LEGAL</t>
  </si>
  <si>
    <t>Nombre completo del representante legal de la empresa</t>
  </si>
  <si>
    <t>PLANILLA_REPORTADA</t>
  </si>
  <si>
    <t>Planilla total pagada por el cliente juridico.</t>
  </si>
  <si>
    <t>ANTIGUEDAD_LABORAL_PROMEDIO</t>
  </si>
  <si>
    <t>Promedio de la antigüedad laboral de los colaboradores del cliente juridico.</t>
  </si>
  <si>
    <t>ANTIGUEDAD_LABORAL_MEDIANA</t>
  </si>
  <si>
    <t>Mediana de la antigüedad laboral de los colaboradores del cliente jurídico.</t>
  </si>
  <si>
    <t>PLANILLA_REPORTADA_PROMEDIO</t>
  </si>
  <si>
    <t>Promedio de planilla pagada al empleado del cliente jurídico.</t>
  </si>
  <si>
    <t>PLANILLA_REPORTADA_MEDIANA</t>
  </si>
  <si>
    <t>Mediana de planilla pagada al empleado del cliente jurídico.</t>
  </si>
  <si>
    <t>LUCRATIVA_FLAG</t>
  </si>
  <si>
    <t>Indica si la empresa es lucrativa</t>
  </si>
  <si>
    <t>ESTATAL_FLAG</t>
  </si>
  <si>
    <t>Indica si la empresa es estatal</t>
  </si>
  <si>
    <t>DIRECCION_INTERNA</t>
  </si>
  <si>
    <t>Dirección donde se encuentra localizado el cliente jurídico</t>
  </si>
  <si>
    <t>MONTO_ACTIVOS</t>
  </si>
  <si>
    <t>Monto de activos registrado del cliente</t>
  </si>
  <si>
    <t>VENTAS_ANUAL</t>
  </si>
  <si>
    <t>Ventas anuales registradas del cliente</t>
  </si>
  <si>
    <t>Master Analytics, Master Empresas</t>
  </si>
  <si>
    <t>LISTA_GIE_DESC</t>
  </si>
  <si>
    <t>Indica el detalle del  grupo de interes económico al que pertenece el cliente</t>
  </si>
  <si>
    <t>GEOGRAFICO</t>
  </si>
  <si>
    <t>GAM_FLAG</t>
  </si>
  <si>
    <t>Indica si la persona jurídica se ubica en el Gran Área Metropolitana (GAM)</t>
  </si>
  <si>
    <t>Urbana = 1, Rural = 0</t>
  </si>
  <si>
    <t>PAIS_DEFAULT</t>
  </si>
  <si>
    <t>País de domicilio del cliente</t>
  </si>
  <si>
    <t>PROVINCIA_DEFAULT</t>
  </si>
  <si>
    <t>Provincia de domicilio del cliente</t>
  </si>
  <si>
    <t>CANTON_DEFAULT</t>
  </si>
  <si>
    <t>Cantón de domicilio del cliente</t>
  </si>
  <si>
    <t>DISTRITO_DEFAULT</t>
  </si>
  <si>
    <t>Distrito de domicilio del cliente</t>
  </si>
  <si>
    <t>PROVINCIA_TRABAJO</t>
  </si>
  <si>
    <t>Provincia de trabajo del cliente</t>
  </si>
  <si>
    <t>CANTON_TRABAJO</t>
  </si>
  <si>
    <t>Cantón de trabajo del cliente</t>
  </si>
  <si>
    <t>DISTRITO_TRABAJO</t>
  </si>
  <si>
    <t>Distrito de trabajo del cliente</t>
  </si>
  <si>
    <t>PROVINCIA_VOTO</t>
  </si>
  <si>
    <t>Provincia donde vota el cliente</t>
  </si>
  <si>
    <t>CANTON_VOTO</t>
  </si>
  <si>
    <t>Cantón donde vota el cliente</t>
  </si>
  <si>
    <t>DISTRITO_VOTO</t>
  </si>
  <si>
    <t>Distrito donde vota el cliente</t>
  </si>
  <si>
    <t>LATITUD_DOMICILIO</t>
  </si>
  <si>
    <t>Latitud donde se ubica el domicilio</t>
  </si>
  <si>
    <t>LONGITUD_DOMICILIO</t>
  </si>
  <si>
    <t>Longitud donde se ubica el domicilio</t>
  </si>
  <si>
    <t>GESTIONES</t>
  </si>
  <si>
    <t>GES_TC_SERVICIOS</t>
  </si>
  <si>
    <t>El cliente ha realizado gestiones de servicios de tarjetas de crédito</t>
  </si>
  <si>
    <t>GES_TC_INTENTO_CANCELACION</t>
  </si>
  <si>
    <t>El cliente ha realizado gestiones de cancelación de tarjetas de crédito</t>
  </si>
  <si>
    <t>GES_TC_CANCELACION_EFECTIVA</t>
  </si>
  <si>
    <t>Gestiones de cancelación realizadas por el cliente con resultado efectivo</t>
  </si>
  <si>
    <t>GES_TC_SALIDA_DEL_PAIS</t>
  </si>
  <si>
    <t>Gestiones relacionadas a salidas del país</t>
  </si>
  <si>
    <t>GES_TC_OTRAS</t>
  </si>
  <si>
    <t>Otro tipo de gestiones de tarjeta de crédito</t>
  </si>
  <si>
    <t>GES_TC_MALESTAR</t>
  </si>
  <si>
    <t>El cliente ha realizado gestiones de malestar de tarjetas de crédito</t>
  </si>
  <si>
    <t>NEGOCIO</t>
  </si>
  <si>
    <t>PROMOTOR_ACTIVO</t>
  </si>
  <si>
    <t>Promotor activo del cliente jurídico en caso de contar con crédito</t>
  </si>
  <si>
    <t>PROMOTOR_ACTIVO_NOM</t>
  </si>
  <si>
    <t>Nombre del promotor en lo que respecta a productos activos</t>
  </si>
  <si>
    <t>GERENCIA</t>
  </si>
  <si>
    <t>Gerencia a la que pertenece el cliente</t>
  </si>
  <si>
    <t>COD_PROMOTOR</t>
  </si>
  <si>
    <t>Código promotor asignado al cliente</t>
  </si>
  <si>
    <t>UNIDAD_NEGOCIO</t>
  </si>
  <si>
    <t>Unidad de Negocio a la que pertenece el cliente</t>
  </si>
  <si>
    <t>AREA_FUNCIONAL</t>
  </si>
  <si>
    <t>Área funcional a la que pertenece el cliente</t>
  </si>
  <si>
    <t>PROMOTOR_PASIVO_NOM</t>
  </si>
  <si>
    <t>Nombre del promotor en lo que respecta a productos pasivos</t>
  </si>
  <si>
    <t>LABORA_GRUPO_HUELLA_FLAG</t>
  </si>
  <si>
    <t>Indica si el cliente labora para alguna empresa del Grupo Huella</t>
  </si>
  <si>
    <t>COLABORADOR_FLAG</t>
  </si>
  <si>
    <t>Indica si el cliente es un colaborador de Banco Promerica</t>
  </si>
  <si>
    <t>OTROS</t>
  </si>
  <si>
    <t>FEC_CORTE</t>
  </si>
  <si>
    <t>Fecha de corte del Master</t>
  </si>
  <si>
    <t>PRODUCTO</t>
  </si>
  <si>
    <t>TR_CTF_ENTRANTE_FLAG</t>
  </si>
  <si>
    <t>Indica si el cliente realizó transferencias CTF entrantes</t>
  </si>
  <si>
    <t>TR_CTF_ENTRANTE_TRX_Q</t>
  </si>
  <si>
    <t xml:space="preserve">Cantidad de transferencias CTF entrante </t>
  </si>
  <si>
    <t>TR_CTF_ENTRANTE_TRX_MONTO</t>
  </si>
  <si>
    <t>Monto en dólares de transferencias CTF entrantes</t>
  </si>
  <si>
    <t>TR_CTF_SALIENTE_FLAG</t>
  </si>
  <si>
    <t>Indica si el cliente realizó transferencias CTF salientes</t>
  </si>
  <si>
    <t>TR_CTF_SALIENTE_TRX_Q</t>
  </si>
  <si>
    <t>Cantidad de transferencias CTF saliente</t>
  </si>
  <si>
    <t>TR_CTF_SALIENTE_TRX_MONTO</t>
  </si>
  <si>
    <t>Monto en dólares de transferencias CTF salientes</t>
  </si>
  <si>
    <t>TR_INTERNACIONAL_ENTRANTE_TRX_Q</t>
  </si>
  <si>
    <t xml:space="preserve">Cantidad de transferencias Internacionales entrante </t>
  </si>
  <si>
    <t>TR_INTERNACIONAL_SALIENTE_TRX_Q</t>
  </si>
  <si>
    <t xml:space="preserve">Cantidad de transferencias Internacionales saliente </t>
  </si>
  <si>
    <t>PAGOS_FLAG</t>
  </si>
  <si>
    <t>Indica si el cliente realiza pagos</t>
  </si>
  <si>
    <t>TRANSFERENCIAS_FLAG</t>
  </si>
  <si>
    <t>Indica si el cliente realiza transferencias</t>
  </si>
  <si>
    <t>PRODUCTOS_ACTIVOS</t>
  </si>
  <si>
    <t>Lista de productos CORE que tiene activos el cliente</t>
  </si>
  <si>
    <t>PRODUCTOS_INACTIVOS</t>
  </si>
  <si>
    <t>Lista de productos CORE que tiene inactivos el cliente</t>
  </si>
  <si>
    <t>CE_Q</t>
  </si>
  <si>
    <t>Cantidad de cuentas de efectivo activas que posee el cliente</t>
  </si>
  <si>
    <t>CDI_Q</t>
  </si>
  <si>
    <t>Cantidad de certificados a plazo activos que posee el cliente</t>
  </si>
  <si>
    <t>CE_PLAN_METAS_Q</t>
  </si>
  <si>
    <t>Cantidad de planes meta que posee el cliente</t>
  </si>
  <si>
    <t>PR_PRENDARIO_Q</t>
  </si>
  <si>
    <t>Cantidad de créditos prendarios activos que posee el cliente</t>
  </si>
  <si>
    <t>PR_HIPOTECARIO_Q</t>
  </si>
  <si>
    <t>Cantidad de créditos hipotecarios activos que posee el cliente</t>
  </si>
  <si>
    <t>PR_OTROS_Q</t>
  </si>
  <si>
    <t>Cantidad de otros créditos activos que posee el cliente</t>
  </si>
  <si>
    <t>TC_Q</t>
  </si>
  <si>
    <t>Cantidad de tarjetas de crédito activos que posee el cliente</t>
  </si>
  <si>
    <t>TD_Q</t>
  </si>
  <si>
    <t>Cantidad de tarjetas de débito activos que posee el cliente</t>
  </si>
  <si>
    <t>CE_MONTO_PROMEDIO</t>
  </si>
  <si>
    <t>Saldo promedio en dólares en Cuentas de Efectivo en los últimos 12 meses</t>
  </si>
  <si>
    <t>bigint</t>
  </si>
  <si>
    <t>PRODUCTOS_CORE_Q</t>
  </si>
  <si>
    <t>Cantidad de productos CORE</t>
  </si>
  <si>
    <t>PRODUCTOS_CORE_Q_RANGO</t>
  </si>
  <si>
    <t>Rango de productos CORE</t>
  </si>
  <si>
    <t>SALDO_PASIVOS</t>
  </si>
  <si>
    <t>Saldo en dólares en Cuentas de Efectivo y Certificados a Plazo</t>
  </si>
  <si>
    <t>SALDO_ACTIVOS</t>
  </si>
  <si>
    <t xml:space="preserve">Saldo en dólares en Tarjetas de Crédito y Créditos </t>
  </si>
  <si>
    <t>ADQ_FACTURACION_LY</t>
  </si>
  <si>
    <t>Facturación total en dólares realizada en adquirencia en el último año</t>
  </si>
  <si>
    <t>CE_FLAG</t>
  </si>
  <si>
    <t>Indica si el cliente posee al menos una Cuenta de Efectivo</t>
  </si>
  <si>
    <t>CDI_FLAG</t>
  </si>
  <si>
    <t>Indica si el cliente posee al menos un Certificado a Plazo</t>
  </si>
  <si>
    <t>CE_PLAN_METAS_FLAG</t>
  </si>
  <si>
    <t>Indica si el cliente tiene al menos un Plan Meta</t>
  </si>
  <si>
    <t>PR_PRENDARIO_FLAG</t>
  </si>
  <si>
    <t>Indica si el cliente posee al menos un Crédito Prendario</t>
  </si>
  <si>
    <t>PR_HIPOTECARIO_FLAG</t>
  </si>
  <si>
    <t>Indica si el cliente posee al menos un Crédito Hipotecario</t>
  </si>
  <si>
    <t>PR_OTROS_FLAG</t>
  </si>
  <si>
    <t>Indica si el clientes posee al menos otro crédito</t>
  </si>
  <si>
    <t>TC_FLAG</t>
  </si>
  <si>
    <t>Indica si el cliente posee al menos una tarjeta de crédito</t>
  </si>
  <si>
    <t>TD_FLAG</t>
  </si>
  <si>
    <t>Indica si el cliente posee al menos una tarjeta de débito</t>
  </si>
  <si>
    <t>MESA_CAMBIO_FLAG</t>
  </si>
  <si>
    <t>Indica si el cliente utiliza mesa de cambio</t>
  </si>
  <si>
    <t>SEGUROS_FLAG</t>
  </si>
  <si>
    <t>Indica si el cliente posee al menos un seguro</t>
  </si>
  <si>
    <t>ADQ_FLAG</t>
  </si>
  <si>
    <t>Indica si el cliente tiene adquirencia</t>
  </si>
  <si>
    <t>CE_SALDO</t>
  </si>
  <si>
    <t>Saldo en dólares de Cuentas de Efectivo a la fecha de corte</t>
  </si>
  <si>
    <t>CDI_SALDO</t>
  </si>
  <si>
    <t>Saldo en dólares de Certificados a Plazo a la fecha de corte</t>
  </si>
  <si>
    <t>CE_PLAN_METAS_SALDO</t>
  </si>
  <si>
    <t>Saldo en dólares de Plan Metas a la fecha de corte</t>
  </si>
  <si>
    <t>PR_PRENDARIO_SALDO</t>
  </si>
  <si>
    <t>Saldo en dólares de crédito Prendario a la fecha de corte</t>
  </si>
  <si>
    <t>PR_HIPOTECARIO_SALDO</t>
  </si>
  <si>
    <t>Saldo de crédito Hipotecario a la fecha de corte</t>
  </si>
  <si>
    <t>PR_OTROS_SALDO</t>
  </si>
  <si>
    <t>Saldo en dólares de otros Créditos a la fecha de corte</t>
  </si>
  <si>
    <t>TC_SALDO</t>
  </si>
  <si>
    <t>Saldo en dólares en tarjetas de crédito a la fecha de corte</t>
  </si>
  <si>
    <t>TD_SALDO</t>
  </si>
  <si>
    <t>Saldo en dólares de tarjetas de débito a la fecha de corte</t>
  </si>
  <si>
    <t>TC_TRX_MONTO</t>
  </si>
  <si>
    <t>Monto de transacciones realizadas con Tarjeta de Crédito</t>
  </si>
  <si>
    <t>TD_TRX_MONTO</t>
  </si>
  <si>
    <t>Monto de transacciones realizadas con Tarjeta de Débito</t>
  </si>
  <si>
    <t>MESA_CAMBIO_TRX_MONTO</t>
  </si>
  <si>
    <t>Monto de transacciones realizadas con Mesa de Cambio</t>
  </si>
  <si>
    <t>ADQ_TRX_MONTO</t>
  </si>
  <si>
    <t>Monto de transacciones realizadas en Adquirencia</t>
  </si>
  <si>
    <t>MESA_CAMBIO_TRX_Q</t>
  </si>
  <si>
    <t xml:space="preserve">Cantidad de transacciones de Mesa de Cambio </t>
  </si>
  <si>
    <t>RECIBE_PAGO_PLANILLA_FLAG</t>
  </si>
  <si>
    <t>Indica si el cliente recibe el pago de planilla con Banco Promerica</t>
  </si>
  <si>
    <t>CUENTA_PLANILLERA_FLAG</t>
  </si>
  <si>
    <t>Indica si el cliente posee una cuenta de efectivo planillera</t>
  </si>
  <si>
    <t>VALET_PARKING_FLAG</t>
  </si>
  <si>
    <t>Indica si el cliente usa el servicio de Valet Parking</t>
  </si>
  <si>
    <t>LINEUP_FLAG</t>
  </si>
  <si>
    <t>Indica si el cliente pertenece a Lineup</t>
  </si>
  <si>
    <t>XF_FLAG</t>
  </si>
  <si>
    <t>Indica si el cliente tiene Extrafinanciamientos</t>
  </si>
  <si>
    <t>XF_SALDO</t>
  </si>
  <si>
    <t>Saldo en dólares de extrafinanciamientos</t>
  </si>
  <si>
    <t>PAGO_PLANILLA_FLAG</t>
  </si>
  <si>
    <t>Indica si el cliente paga su planilla con Banco Promerica</t>
  </si>
  <si>
    <t>PAGO_PLANILLA_TRX_MONTO</t>
  </si>
  <si>
    <t>Monto en dólares de los pagos en Planilla</t>
  </si>
  <si>
    <t>PAGO_PROVEEDORES_FLAG</t>
  </si>
  <si>
    <t>Indica si el cliente realizó pago de Proveedores</t>
  </si>
  <si>
    <t>PAGO_PROVEEDORES_TRX_Q</t>
  </si>
  <si>
    <t>Cantidad de transacciones de Pago de Proveedores</t>
  </si>
  <si>
    <t>PAGO_PROVEEDORES_TRX_MONTO</t>
  </si>
  <si>
    <t>Monto de transacciones de Pago de Proveedores</t>
  </si>
  <si>
    <t>PAGO_STC_FLAG</t>
  </si>
  <si>
    <t>Indica si el cliente realizó pago de Servicios con Tarjeta de Crédito</t>
  </si>
  <si>
    <t>PAGO_STC_TRX_Q</t>
  </si>
  <si>
    <t>Cantidad de pagos de Servicios con Tarjeta de Crédito</t>
  </si>
  <si>
    <t>PAGO_STC_TRX_MONTO</t>
  </si>
  <si>
    <t>Monto de transacciones de Pago de Servicios con Tarjeta de Crédito</t>
  </si>
  <si>
    <t>PAGO_SCE_FLAG</t>
  </si>
  <si>
    <t>Indica si el cliente realizó pago de Servicios con Cuenta de Efectivo</t>
  </si>
  <si>
    <t>PAGO_SCE_TRX_Q</t>
  </si>
  <si>
    <t>Cantidad de pagos de Servicios con Cuenta de Efectivo</t>
  </si>
  <si>
    <t>PAGO_SCE_TRX_MONTO</t>
  </si>
  <si>
    <t>Monto en dólares de transacciones de Pago de Servicios con Cuenta de Efectivo</t>
  </si>
  <si>
    <t>TR_SINPE_ENTRANTE_FLAG</t>
  </si>
  <si>
    <t>Indica si el cliente realizó transferencias SINPE entrantes</t>
  </si>
  <si>
    <t>TR_SINPE_ENTRANTE_TRX_Q</t>
  </si>
  <si>
    <t>Cantidad de transferencias SINPE entrante</t>
  </si>
  <si>
    <t>TR_SINPE_ENTRANTE_TRX_MONTO</t>
  </si>
  <si>
    <t>Monto en dólares de transferencias SINPE entrantes</t>
  </si>
  <si>
    <t>TR_SINPE_SALIENTE_FLAG</t>
  </si>
  <si>
    <t>Indica si el cliente realizó transferencias SINPE salientes</t>
  </si>
  <si>
    <t>TR_SINPE_SALIENTE_TRX_Q</t>
  </si>
  <si>
    <t>Cantidad de transferencias SINPE saliente</t>
  </si>
  <si>
    <t>TR_SINPE_SALIENTE_TRX_MONTO</t>
  </si>
  <si>
    <t>Monto en dólares de transferencias SINPE salientes</t>
  </si>
  <si>
    <t>TR_DTR_ENTRANTE_FLAG</t>
  </si>
  <si>
    <t>Indica si el cliente realizó transferencias DTR entrantes</t>
  </si>
  <si>
    <t>TR_DTR_ENTRANTE_TRX_Q</t>
  </si>
  <si>
    <t xml:space="preserve">Cantidad de trasnferencias DTR entrante </t>
  </si>
  <si>
    <t>TR_DTR_ENTRANTE_TRX_MONTO</t>
  </si>
  <si>
    <t>Monto en dólares de transferencias DTR entrantes</t>
  </si>
  <si>
    <t>TR_DTR_SALIENTE_FLAG</t>
  </si>
  <si>
    <t>Indica si el cliente realizó transferencias DTR salientes</t>
  </si>
  <si>
    <t>TR_DTR_SALIENTE_TRX_Q</t>
  </si>
  <si>
    <t>Cantidad de transferencias DTR saliente</t>
  </si>
  <si>
    <t>TR_DTR_SALIENTE_TRX_MONTO</t>
  </si>
  <si>
    <t>Monto en dólares de transferencias DTR salientes</t>
  </si>
  <si>
    <t>TR_INTERNACIONAL_ENTRANTE_FLAG</t>
  </si>
  <si>
    <t>Indica si el cliente realizó transferencias Internacionales entrantes</t>
  </si>
  <si>
    <t>TR_INTERNACIONAL_ENTRANTE_TRX_MONTO</t>
  </si>
  <si>
    <t>Monto en dólares de transferencias Internacionales entrantes</t>
  </si>
  <si>
    <t>TR_INTERNACIONAL_SALIENTE_FLAG</t>
  </si>
  <si>
    <t>Indica si el cliente realizó transferencias Internacionales salientes</t>
  </si>
  <si>
    <t>TR_INTERNACIONAL_SALIENTE_TRX_MONTO</t>
  </si>
  <si>
    <t>Monto en dólares de transferencias Internacionales salientes</t>
  </si>
  <si>
    <t>CE_CORRIENTE_AHORRO_FLAG</t>
  </si>
  <si>
    <t>Indica si el cliente posee al menos una Cuenta Corriente o de Ahorro.</t>
  </si>
  <si>
    <t>CE_CORRIENTE_AHORRO_SALDO</t>
  </si>
  <si>
    <t xml:space="preserve">Saldo en dólares de Cuentas Corrientes o de Ahorro </t>
  </si>
  <si>
    <t>CE_CORRIENTE_AHORRO_TRX_MONTO</t>
  </si>
  <si>
    <t>Monto total de transacciones realizadas en Cuentas Corrientes o de Ahorro.</t>
  </si>
  <si>
    <t>CE_CORRIENTE_AHORRO_TRX_Q</t>
  </si>
  <si>
    <t>Cantidad de transacciones realizadas en Cuentas Corrientes o de Ahorro.</t>
  </si>
  <si>
    <t>CE_ALTO_RENDIMIENTO_FLAG</t>
  </si>
  <si>
    <t>Indica si el cliente posee al menos una Cuenta de Alto Rendimiento.</t>
  </si>
  <si>
    <t>CE_ALTO_RENDIMIENTO_SALDO</t>
  </si>
  <si>
    <t xml:space="preserve">Saldo en dólares de Cuentas de Alto Rendimiento </t>
  </si>
  <si>
    <t>CE_ALTO_RENDIMIENTO_TRX_MONTO</t>
  </si>
  <si>
    <t>Monto total de transacciones realizadas en Cuentas de Alto Rendimiento.</t>
  </si>
  <si>
    <t>CE_ALTO_RENDIMIENTO_TRX_Q</t>
  </si>
  <si>
    <t>Cantidad de transacciones realizadas en Cuentas de Alto Rendimiento.</t>
  </si>
  <si>
    <t>CDI_DESMATERIALIZADOS_FLAG</t>
  </si>
  <si>
    <t>Indica si el cliente posee al menos un Certificado de Inversión Desmaterializado.</t>
  </si>
  <si>
    <t>CDI_DESMATERIALIZADOS_SALDO</t>
  </si>
  <si>
    <t xml:space="preserve">Saldo en dólares de Certificados de Inversión Desmaterializados </t>
  </si>
  <si>
    <t>CDI_DESMATERIALIZADOS_TRX_MONTO</t>
  </si>
  <si>
    <t>Monto total de transacciones asociadas a Certificados de Inversión Desmaterializados.</t>
  </si>
  <si>
    <t>CDI_DESMATERIALIZADOS_TRX_Q</t>
  </si>
  <si>
    <t>Cantidad de transacciones asociadas a Certificados de Inversión Desmaterializados.</t>
  </si>
  <si>
    <t>CDI_EMISIONES_SUB_FLAG</t>
  </si>
  <si>
    <t>Indica si el cliente posee al menos una Emisión Subordinada.</t>
  </si>
  <si>
    <t>CDI_EMISIONES_SUB_SALDO</t>
  </si>
  <si>
    <t xml:space="preserve">Saldo en dólares de Emisiones Subordinadas </t>
  </si>
  <si>
    <t>CDI_EMISIONES_SUB_TRX_MONTO</t>
  </si>
  <si>
    <t>Monto total de transacciones realizadas en Emisiones Subordinadas.</t>
  </si>
  <si>
    <t>CDI_EMISIONES_SUB_TRX_Q</t>
  </si>
  <si>
    <t>Cantidad de transacciones realizadas en Emisiones Subordinadas.</t>
  </si>
  <si>
    <t>CDI_MACROTITULOS_FLAG</t>
  </si>
  <si>
    <t>Indica si el cliente posee al menos un Macrotítulo de Inversión.</t>
  </si>
  <si>
    <t>CDI_MACROTITULOS_SALDO</t>
  </si>
  <si>
    <t xml:space="preserve">Saldo en dólares de Macrotítulos de Inversión </t>
  </si>
  <si>
    <t>CDI_MACROTITULOS_TRX_MONTO</t>
  </si>
  <si>
    <t>Monto total de transacciones realizadas en Macrotítulos de Inversión.</t>
  </si>
  <si>
    <t>CDI_MACROTITULOS_TRX_Q</t>
  </si>
  <si>
    <t>Cantidad de transacciones realizadas en Macrotítulos de Inversión.</t>
  </si>
  <si>
    <t>CDI_OTROS_FLAG</t>
  </si>
  <si>
    <t>Indica si el cliente posee al menos otro tipo de Certificado de Inversión distinto a los anteriores.</t>
  </si>
  <si>
    <t>CDI_OTROS_SALDO</t>
  </si>
  <si>
    <t xml:space="preserve">Saldo en dólares de otros Certificados de Inversión </t>
  </si>
  <si>
    <t>CDI_OTROS_TRX_MONTO</t>
  </si>
  <si>
    <t>Monto total de transacciones realizadas en otros Certificados de Inversión.</t>
  </si>
  <si>
    <t>CDI_OTROS_TRX_Q</t>
  </si>
  <si>
    <t>Cantidad de transacciones realizadas en otros Certificados de Inversión.</t>
  </si>
  <si>
    <t>PR_PERS_PREFERENTE_FLAG</t>
  </si>
  <si>
    <t>Indica si el cliente posee al menos un Crédito Personal Preferente.</t>
  </si>
  <si>
    <t>PR_PERS_PREFERENTE_SALDO</t>
  </si>
  <si>
    <t xml:space="preserve">Saldo en dólares de Créditos Personales Preferentes </t>
  </si>
  <si>
    <t>PR_PERS_PREFERENTE_TRX_MONTO</t>
  </si>
  <si>
    <t>Monto total de transacciones realizadas en Créditos Personales Preferentes.</t>
  </si>
  <si>
    <t>PR_PERS_PREFERENTE_TRX_Q</t>
  </si>
  <si>
    <t>Cantidad de transacciones realizadas en Créditos Personales Preferentes.</t>
  </si>
  <si>
    <t>PR_COMERCIAL_FLAG</t>
  </si>
  <si>
    <t>Indica si el cliente posee al menos un Crédito Comercial.</t>
  </si>
  <si>
    <t>PR_COMERCIAL_SALDO</t>
  </si>
  <si>
    <t xml:space="preserve">Saldo en dólares de Créditos Comerciales </t>
  </si>
  <si>
    <t>PR_COMERCIAL_TRX_MONTO</t>
  </si>
  <si>
    <t>Monto total de transacciones realizadas en Créditos Comerciales.</t>
  </si>
  <si>
    <t>PR_COMERCIAL_TRX_Q</t>
  </si>
  <si>
    <t>Cantidad de transacciones realizadas en Créditos Comerciales.</t>
  </si>
  <si>
    <t>PR_EMPRESARIAL_FLAG</t>
  </si>
  <si>
    <t>Indica si el cliente posee al menos un Crédito Empresarial.</t>
  </si>
  <si>
    <t>PR_EMPRESARIAL_SALDO</t>
  </si>
  <si>
    <t xml:space="preserve">Saldo en dólares de Créditos Empresariales </t>
  </si>
  <si>
    <t>PR_EMPRESARIAL_TRX_MONTO</t>
  </si>
  <si>
    <t>Monto total de transacciones realizadas en Créditos Empresariales.</t>
  </si>
  <si>
    <t>PR_EMPRESARIAL_TRX_Q</t>
  </si>
  <si>
    <t>Cantidad de transacciones realizadas en Créditos Empresariales.</t>
  </si>
  <si>
    <t>PR_SBD_FLAG</t>
  </si>
  <si>
    <t>Indica si el cliente posee al menos un Crédito de SBD</t>
  </si>
  <si>
    <t>Preguntar si sbd es Sistema de Banca para el Desarrollo (SBD).</t>
  </si>
  <si>
    <t>PR_SBD_SALDO</t>
  </si>
  <si>
    <t xml:space="preserve">Saldo en dólares de Créditos de SBD </t>
  </si>
  <si>
    <t>PR_SBD_TRX_MONTO</t>
  </si>
  <si>
    <t>Monto total de transacciones realizadas en Créditos del Sistema de Banca para el Desarrollo.</t>
  </si>
  <si>
    <t>PR_SBD_TRX_Q</t>
  </si>
  <si>
    <t>Cantidad de transacciones realizadas en Créditos del Sistema de Banca para el Desarrollo.</t>
  </si>
  <si>
    <t>PR_NAP_MICRO_FLAG</t>
  </si>
  <si>
    <t>Indica si el cliente posee al menos un Crédito NAP o Microcrédito.</t>
  </si>
  <si>
    <t>PR_NAP_MICRO_SALDO</t>
  </si>
  <si>
    <t xml:space="preserve">Saldo en dólares de Créditos NAP o Microcréditos </t>
  </si>
  <si>
    <t>PR_NAP_MICRO_TRX_MONTO</t>
  </si>
  <si>
    <t>Monto total de transacciones realizadas en Créditos NAP o Microcréditos.</t>
  </si>
  <si>
    <t>PR_NAP_MICRO_TRX_Q</t>
  </si>
  <si>
    <t>Cantidad de transacciones realizadas en Créditos NAP o Microcréditos.</t>
  </si>
  <si>
    <t>PR_FACT_PSA_FLAG</t>
  </si>
  <si>
    <t>Indica si el cliente posee otro crédito (Factoring y PSA)</t>
  </si>
  <si>
    <t>PR_FACT_PSA_SALDO</t>
  </si>
  <si>
    <t xml:space="preserve">Saldo en dólares en otros créditos (Factoring y PSA) </t>
  </si>
  <si>
    <t>PR_FACT_PSA_TRX_MONTO</t>
  </si>
  <si>
    <t>Monto total de transacciones realizadas en otros créditos  (Factoring y PSA)</t>
  </si>
  <si>
    <t>PR_FACT_PSA_TRX_Q</t>
  </si>
  <si>
    <t>Cantidad de transacciones realizadas en otros créditos  (Factoring y PSA)</t>
  </si>
  <si>
    <t>CE_COLONES_SALDO</t>
  </si>
  <si>
    <t>Saldo en dólares correspondiente a Cuentas de Efectivo cuya moneda original es colones.</t>
  </si>
  <si>
    <t>CE_DOLARES_SALDO</t>
  </si>
  <si>
    <t>Saldo en dólares correspondiente a Cuentas de Efectivo cuya moneda original es dólares.</t>
  </si>
  <si>
    <t>CDI_COLONES_SALDO</t>
  </si>
  <si>
    <t>Saldo en dólares correspondiente a Certificados de Inversión cuya moneda original es colones.</t>
  </si>
  <si>
    <t>CDI_DOLARES_SALDO</t>
  </si>
  <si>
    <t>Saldo en dólares correspondiente a Certificados de Inversión cuya moneda original es dólares.</t>
  </si>
  <si>
    <t>RENTABILIDAD</t>
  </si>
  <si>
    <t>ESTIMACION_INCOBRABLES</t>
  </si>
  <si>
    <t xml:space="preserve">Monto en dólares de estimación de incobrables, según modelo del banco de rentabilidad </t>
  </si>
  <si>
    <t>INGRESO_FINANCIERO</t>
  </si>
  <si>
    <t xml:space="preserve">Monto en dólares de ingreso financiero, según modelo del banco de rentabilidad </t>
  </si>
  <si>
    <t>GASTO_FINANCIERO</t>
  </si>
  <si>
    <t xml:space="preserve">Monto en dólares de gasto financiero, según modelo del banco de rentabilidad </t>
  </si>
  <si>
    <t>MARGEN_FINANCIERO_BRUTO</t>
  </si>
  <si>
    <t xml:space="preserve">Monto en dólares del margen financiero bruto, según modelo del banco de rentabilidad </t>
  </si>
  <si>
    <t>MARGEN_FINANCIERO_NETO</t>
  </si>
  <si>
    <t xml:space="preserve">Monto en dólares del margen financiero neto, según modelo del banco de rentabilidad </t>
  </si>
  <si>
    <t>CONTRIBUCION_NETA</t>
  </si>
  <si>
    <t xml:space="preserve">Monto en dólares de contribución neta, según modelo del banco de rentabilidad </t>
  </si>
  <si>
    <t>CONTRIBUCION_NETA_YTD</t>
  </si>
  <si>
    <t xml:space="preserve">Monto en dólares de contribución neta acumulada del año, según modelo del banco de rentabilidad </t>
  </si>
  <si>
    <t>MARGEN_FINANCIERO_NETO_YTD</t>
  </si>
  <si>
    <t xml:space="preserve">Monto en dólares del margen financiero neto acumulada del año, según modelo del banco de rentabilidad </t>
  </si>
  <si>
    <t>RIESGO</t>
  </si>
  <si>
    <t>MAL_DEUDOR_FLAG</t>
  </si>
  <si>
    <t>Indica si el cliente ha sido catalogado como mal deudor por estar en mora en el sistema financiero</t>
  </si>
  <si>
    <t>Mal deudor = 1, No es mal deudor = 0</t>
  </si>
  <si>
    <t>APLICA_CREDITO</t>
  </si>
  <si>
    <t>Indica si el cliente aplica para obtener un crédito</t>
  </si>
  <si>
    <t>Sí = 1, No= 0</t>
  </si>
  <si>
    <t>BEHAVIOUR_GENERAL</t>
  </si>
  <si>
    <t>Clasificación de riesgo del cliente según su Behaviour TC y Behaviour Prendario</t>
  </si>
  <si>
    <t>Sin riesgo, En riesgo</t>
  </si>
  <si>
    <t>BEHAVIOUR_SCORE_TC</t>
  </si>
  <si>
    <t>Puntaje del nivel de riesgo para obtener una tarjeta de crédito</t>
  </si>
  <si>
    <t xml:space="preserve">0 = bajo riesgo </t>
  </si>
  <si>
    <t>BEHAVIOUR_TC</t>
  </si>
  <si>
    <t>Categorización del nivel de riesgo para obtener una tarjeta de crédito</t>
  </si>
  <si>
    <t>R1.1 = sin riesgo</t>
  </si>
  <si>
    <t>BEHAVIOUR_SCORE_PRENDARIO</t>
  </si>
  <si>
    <t>Puntaje del nivel de riesgo para obtener un crédito prendario</t>
  </si>
  <si>
    <t>BEHAVIOUR_PRENDARIO</t>
  </si>
  <si>
    <t>Categorización del nivel de riesgo para obtener un crédito prendario</t>
  </si>
  <si>
    <t>CATEGORIA_RIESGO</t>
  </si>
  <si>
    <t>Categoria de riesgo</t>
  </si>
  <si>
    <t>Master AnalyticsMaster Empresas</t>
  </si>
  <si>
    <t>SCORE_EQUIFAX</t>
  </si>
  <si>
    <t>Indicador Score calculado por Equifax</t>
  </si>
  <si>
    <t>CHP</t>
  </si>
  <si>
    <t>Categoría del Indicador de Comportamiento Histórico de Pago</t>
  </si>
  <si>
    <t>CHP_INDICADOR</t>
  </si>
  <si>
    <t xml:space="preserve">Indicador de Comportamiento Histórico de Pago </t>
  </si>
  <si>
    <t>MORA_MAXIMA_ACTUAL</t>
  </si>
  <si>
    <t>Mora máxima registrada por el cliente</t>
  </si>
  <si>
    <t>MORA_MAXIMA_HISTORICA</t>
  </si>
  <si>
    <t>Mora máxima histórica registrada por el cliente</t>
  </si>
  <si>
    <t>BEHAVIOUR_DESC</t>
  </si>
  <si>
    <t>Detalle del Behaviour calculado para el cliente en tarjetas de crédito</t>
  </si>
  <si>
    <t>ELIMINAR VARIABLE</t>
  </si>
  <si>
    <t>TC_Q_VENCIMIENTOS</t>
  </si>
  <si>
    <t>Total de vencimientos del cliente (no pago en la fecha)</t>
  </si>
  <si>
    <t>TC_Q_MORA_15</t>
  </si>
  <si>
    <t>Total de veces que estuvo en mora 15 dias</t>
  </si>
  <si>
    <t>TC_Q_MORA_30</t>
  </si>
  <si>
    <t>Total de veces que estuvo en mora 30 dias</t>
  </si>
  <si>
    <t>TC_Q_MORA_45</t>
  </si>
  <si>
    <t>Total de veces que estuvo en mora 45 dias</t>
  </si>
  <si>
    <t>TC_Q_MORA_60</t>
  </si>
  <si>
    <t>Total de veces que estuvo en mora 60 dias</t>
  </si>
  <si>
    <t>TC_CHP_2</t>
  </si>
  <si>
    <t>Indica si esta en CHP_2</t>
  </si>
  <si>
    <t>Eliminar a solicitud de Don Gustavo</t>
  </si>
  <si>
    <t>TC_CHP_3</t>
  </si>
  <si>
    <t>Indica si esta en CHP_3</t>
  </si>
  <si>
    <t>TC_Q_CAT_A2</t>
  </si>
  <si>
    <t>Cantidad de categoría de riesgo A2</t>
  </si>
  <si>
    <t>TC_Q_CAT_B1</t>
  </si>
  <si>
    <t>Cantidad de veces con categoría de riesgo B1</t>
  </si>
  <si>
    <t>TC_Q_CAT_B2</t>
  </si>
  <si>
    <t>Cantidad de veces con categoría de riesgo B2</t>
  </si>
  <si>
    <t>TC_Q_CAT_C1</t>
  </si>
  <si>
    <t>Cantidad de veces con categoría de riesgo C1</t>
  </si>
  <si>
    <t>TC_Q_CAT_C2</t>
  </si>
  <si>
    <t>Cantidad de veces con categoría de riesgo C2</t>
  </si>
  <si>
    <t>TC_Q_CAT_D</t>
  </si>
  <si>
    <t>Cantidad de veces con categoría de riesgo D</t>
  </si>
  <si>
    <t>TC_Q_CAT_E</t>
  </si>
  <si>
    <t>Cantidad de veces con categoría de riesgo E</t>
  </si>
  <si>
    <t>TC_Q_R2_1</t>
  </si>
  <si>
    <t>Cantidad de veces con Behaviour R2_1</t>
  </si>
  <si>
    <t>TC_Q_R2_2</t>
  </si>
  <si>
    <t>Cantidad de veces con Behaviour R2_2</t>
  </si>
  <si>
    <t>TC_Q_R2_3</t>
  </si>
  <si>
    <t>Cantidad de veces con Behaviour R2_3</t>
  </si>
  <si>
    <t>TC_Q_R3_1</t>
  </si>
  <si>
    <t>Cantidad de veces con Behaviour R3_1</t>
  </si>
  <si>
    <t>TC_Q_R3_2</t>
  </si>
  <si>
    <t>Cantidad de veces con Behaviour R3_2</t>
  </si>
  <si>
    <t>TC_Q_R3_3</t>
  </si>
  <si>
    <t>Cantidad de veces con Behaviour R3_3</t>
  </si>
  <si>
    <t>TC_Q_R3_4</t>
  </si>
  <si>
    <t>Cantidad de veces con Behaviour R3_4</t>
  </si>
  <si>
    <t>TC_Q_R3_5</t>
  </si>
  <si>
    <t>Cantidad de veces con Behaviour R3_5</t>
  </si>
  <si>
    <t>TC_Q_R3_6</t>
  </si>
  <si>
    <t>Cantidad de veces con Behaviour R3_6</t>
  </si>
  <si>
    <t>LISTA_MALAS_REFERENCIAS_MONTO</t>
  </si>
  <si>
    <t>Indica si el cliente esta en listas de malas referencias</t>
  </si>
  <si>
    <t>Monto de la lista de malas referencias</t>
  </si>
  <si>
    <t>LISTA_JUICIOS_MONTO</t>
  </si>
  <si>
    <t>Indica si el clientes esta en lista de Juicios</t>
  </si>
  <si>
    <t>Monto de la lista de juicios</t>
  </si>
  <si>
    <t>LISTA_NEGRA_FLAG</t>
  </si>
  <si>
    <t>Indica si esta en lista negra</t>
  </si>
  <si>
    <t>LISTA_OFICIALIA_FLAG</t>
  </si>
  <si>
    <t xml:space="preserve">Indica si esta en lista de oficialía </t>
  </si>
  <si>
    <t>LISTA_PATRONOS_FLAG</t>
  </si>
  <si>
    <t>Indica si esta en la lista de patronos</t>
  </si>
  <si>
    <t>LISTA_EXCLUSION_FLAG</t>
  </si>
  <si>
    <t>Indica si esta en la lista de exclusión</t>
  </si>
  <si>
    <t>LISTA_GIE_FLAG</t>
  </si>
  <si>
    <t>Indica si esta en la lista de grupo de interés económico</t>
  </si>
  <si>
    <t>LISTA_GRUPO_DEUDOR_FLAG</t>
  </si>
  <si>
    <t>Indica si esta en la lista de grupo deudor</t>
  </si>
  <si>
    <t>LISTA_LAVADO_FLAG</t>
  </si>
  <si>
    <t>Indica si el clientes esta en lista de lavado</t>
  </si>
  <si>
    <t>LISTA_JUICIOS_FLAG</t>
  </si>
  <si>
    <t>Indica si esta en la lista de Juicios</t>
  </si>
  <si>
    <t>LISTA_SEGURIDAD_FLAG</t>
  </si>
  <si>
    <t>Indica si esta en la lista de seguridad</t>
  </si>
  <si>
    <t>LISTA_PEP_FLAG</t>
  </si>
  <si>
    <t>Indica si esta en lista de persona políticamente expuesta</t>
  </si>
  <si>
    <t>BEHAVIOUR_TC_CAT</t>
  </si>
  <si>
    <t>Categoría de Behaviour calculado para el cliente en tarjetas de crédito</t>
  </si>
  <si>
    <t>TC_MORA_FLAG</t>
  </si>
  <si>
    <t>Indica si su tarjeta de crédito está en mora</t>
  </si>
  <si>
    <t>RCI</t>
  </si>
  <si>
    <t>Relación Cuota Ingreso</t>
  </si>
  <si>
    <t>XML_SALDO_TOTAL</t>
  </si>
  <si>
    <t>Saldo total en dólares del cliente en el Sistema Financiero</t>
  </si>
  <si>
    <t>XML_SALDO_PROMERICA</t>
  </si>
  <si>
    <t>Saldo total en dólares del cliente con Banco Promerica</t>
  </si>
  <si>
    <t>XML_SALDO_COMPETENCIA</t>
  </si>
  <si>
    <t>Saldo total en dólares en el sistema financiero con la competencia</t>
  </si>
  <si>
    <t>XML_SALDO_COMPETENCIA_DIRECTA</t>
  </si>
  <si>
    <t>Saldo total en dólares en el sistema financiero con la competencia directa</t>
  </si>
  <si>
    <t>XML_SALDO_TC_TOTAL</t>
  </si>
  <si>
    <t>Saldo total en dólares del cliente para tarjetas de crédito en el Sistema Financiero</t>
  </si>
  <si>
    <t>XML_SALDO_TC_PROMERICA</t>
  </si>
  <si>
    <t>Saldo total en dólares del cliente de tarjetas de crédito para  Banco Promerica</t>
  </si>
  <si>
    <t>XML_SALDO_TC_COMPETENCIA</t>
  </si>
  <si>
    <t>Saldo total en dólares en el sistema financiero de tarjetas de crédito con la competencia</t>
  </si>
  <si>
    <t>XML_SALDO_TC_COMPETENCIA_DIRECTA</t>
  </si>
  <si>
    <t>Saldo total en dólares en el sistema financiero de tarjetas de crédito con la competencia directa</t>
  </si>
  <si>
    <t>XML_EXPOSICION_TOTAL</t>
  </si>
  <si>
    <t>Exposición total en el Sistema financiero</t>
  </si>
  <si>
    <t>XML_EXPOSICION_PROMERICA</t>
  </si>
  <si>
    <t>Exposición con Banco Promerica</t>
  </si>
  <si>
    <t>XML_EXPOSICION_COMPETENCIA</t>
  </si>
  <si>
    <t>Exposición con la competencia</t>
  </si>
  <si>
    <t>XML_EXPOSICION_COMPETENCIA_DIRECTA</t>
  </si>
  <si>
    <t>Exposición con la competencia directa</t>
  </si>
  <si>
    <t>XML_EXPOSICION_TC_TOTAL</t>
  </si>
  <si>
    <t>Exposición total en tarjetas de crédito</t>
  </si>
  <si>
    <t>XML_EXPOSICION_TC_PROMERICA</t>
  </si>
  <si>
    <t>Exposición total en tarjetas de crédito con Banco Promerica</t>
  </si>
  <si>
    <t>XML_EXPOSICION_TC_COMPETENCIA</t>
  </si>
  <si>
    <t>Exposición total en tarjetas de crédito con la competencia</t>
  </si>
  <si>
    <t>XML_EXPOSICION_TC_COMPETENCIA_DIRECTA</t>
  </si>
  <si>
    <t>Exposición total en tarjetas de crédito con la competencia directa</t>
  </si>
  <si>
    <t>XML_CUOTA_TOTAL</t>
  </si>
  <si>
    <t>Total de cuota del Sistema financiero</t>
  </si>
  <si>
    <t>XML_CUOTA_PROMERICA</t>
  </si>
  <si>
    <t>Total de cuota de  Banco Promerica</t>
  </si>
  <si>
    <t>XML_CUOTA_COMPETENCIA</t>
  </si>
  <si>
    <t>Total de cuota de la competencia</t>
  </si>
  <si>
    <t>XML_CUOTA_COMPETENCIA_DIRECTA</t>
  </si>
  <si>
    <t>Total de cuota de la competencia directa</t>
  </si>
  <si>
    <t>XML_CUOTA_TC_TOTAL</t>
  </si>
  <si>
    <t>Total de cuota para tarjetas de crédito del Sistema financiero</t>
  </si>
  <si>
    <t>XML_CUOTA_TC_PROMERICA</t>
  </si>
  <si>
    <t>Total de cuota para tarjetas de crédito para Banco Promerica</t>
  </si>
  <si>
    <t>XML_CUOTA_TC_COMPETENCIA</t>
  </si>
  <si>
    <t>Total de cuota para tarjetas de crédito para la competencia</t>
  </si>
  <si>
    <t>XML_CUOTA_TC_COMPETENCIA_DIRECTA</t>
  </si>
  <si>
    <t>Total de cuota para tarjetas de crédito para la competencia directa</t>
  </si>
  <si>
    <t>XML_OPERACIONES_COMPETENCIA</t>
  </si>
  <si>
    <t>Total de operaciones que posee el cliente con la competencia</t>
  </si>
  <si>
    <t>XML_OPERACIONES_TC_COMPETENCIA</t>
  </si>
  <si>
    <t>Total de tarjetas de crédito que tiene el cliente con la competencia</t>
  </si>
  <si>
    <t>XML_Q_ENTIDADES_COMPETENCIA</t>
  </si>
  <si>
    <t>Total de entidades que tiene relacion el cliente que son de la competencia</t>
  </si>
  <si>
    <t>XML_Q_ENTIDADES_TC_COMPETENCIA</t>
  </si>
  <si>
    <t>Total de entidades con tarjetas de crédito  que tiene relacion el cliente que son de la competencia</t>
  </si>
  <si>
    <t>RIQUEZA</t>
  </si>
  <si>
    <t>INGRESO_MAX</t>
  </si>
  <si>
    <t>Ingreso máximo del cliente</t>
  </si>
  <si>
    <t>INGRESO_COL</t>
  </si>
  <si>
    <t>Ingreso en colones registrado para el cliente</t>
  </si>
  <si>
    <t>INGRESO</t>
  </si>
  <si>
    <t>Ingreso en dólares registrado para el cliente</t>
  </si>
  <si>
    <t>NSE</t>
  </si>
  <si>
    <t>Nivel socioeconómico del cliente</t>
  </si>
  <si>
    <t>BI_Q</t>
  </si>
  <si>
    <t>Cantidad de bienes Inmuebles registrados del clientes</t>
  </si>
  <si>
    <t>BI_MONTO</t>
  </si>
  <si>
    <t>Monto en dólares del valor fiscal de los bienes Inmuebles</t>
  </si>
  <si>
    <t>BM_Q</t>
  </si>
  <si>
    <t>Cantidad de Bienes muebles registrados del cliente</t>
  </si>
  <si>
    <t>BM_LUJO_Q</t>
  </si>
  <si>
    <t>Cantidad de bienes muebles lujo registrados por el cliente</t>
  </si>
  <si>
    <t>BM_MONTO</t>
  </si>
  <si>
    <t>Monto en dólares del valor fiscal de los bienes muebles</t>
  </si>
  <si>
    <t>BI_BM_Q</t>
  </si>
  <si>
    <t>Cantidad de bienes inmuebles y muebles registrados por el cliente</t>
  </si>
  <si>
    <t>BI_BM_MONTO</t>
  </si>
  <si>
    <t>Monto en dólares del valor fiscal de los bienes Inmuebles y muebles registrados por el cliente</t>
  </si>
  <si>
    <t>TRANSACCIONAL</t>
  </si>
  <si>
    <t>TC_COMPRAS_COMERCIO_LY</t>
  </si>
  <si>
    <t>Suma en dólares de las compras en comercios realizadas con tarjeta de crédito en el último año</t>
  </si>
  <si>
    <t>TC_RETIROS_EFECTIVO_LY</t>
  </si>
  <si>
    <t>Suma en dólares de los retiros de efectivo realizados con tarjeta de crédito en el último año</t>
  </si>
  <si>
    <t>TC_INTERESES_LY</t>
  </si>
  <si>
    <t>Total en dólares de intereses generados con Tarjeta de Crédito en el último año</t>
  </si>
  <si>
    <t>TC_COMISIONES_LY</t>
  </si>
  <si>
    <t>Total en dólares de comisiones generadas con Tarjeta de Crédito en el último año</t>
  </si>
  <si>
    <t>TD_FACTURACION_LY</t>
  </si>
  <si>
    <t>Facturación total en dólares realizada con tarjeta de débito en el último año</t>
  </si>
  <si>
    <t>PR_INTERESES_LY</t>
  </si>
  <si>
    <t>Total en dólares de intereses generados por créditos en el último año</t>
  </si>
  <si>
    <t>PR_COMISIONES_LY</t>
  </si>
  <si>
    <t>Total en dólares de comisiones generadas por créditos en el último año</t>
  </si>
  <si>
    <t>TF_COMISIONES_LY</t>
  </si>
  <si>
    <t>Total en dólares de comisiones generadas por transferencias en el último año</t>
  </si>
  <si>
    <t>ADQ_COMISIONES_LY</t>
  </si>
  <si>
    <t>Total en dólares de comisiones generadas por adquirencia en el último año</t>
  </si>
  <si>
    <t>VINCULACION</t>
  </si>
  <si>
    <t>FEC_PRIMER_PRODUCTO</t>
  </si>
  <si>
    <t>Fecha del primer producto registrado con Banco Promerica</t>
  </si>
  <si>
    <t>ESTADO_PERSONA</t>
  </si>
  <si>
    <t>Estado actual de la persona</t>
  </si>
  <si>
    <t>Cliente Activo, Cliente Inactivo, Prospecto</t>
  </si>
  <si>
    <t>float</t>
  </si>
  <si>
    <t>INDICE_VINCULACION</t>
  </si>
  <si>
    <t xml:space="preserve">Índice de Vinculación calculado para el cliente </t>
  </si>
  <si>
    <t>INDICE_ACTIVACION</t>
  </si>
  <si>
    <t xml:space="preserve">Índice de Activación calculado para el cliente </t>
  </si>
  <si>
    <t>IVP</t>
  </si>
  <si>
    <t>Índice de Vinculación Ponderado calculado para el cliente</t>
  </si>
  <si>
    <t>SEGMENTACION_OPERATIVA_GIE</t>
  </si>
  <si>
    <t>Clusterización de acuerdo al tamaño de la empresa, asociados al Grupo de Interés Económico de la Empresa Cliente.</t>
  </si>
  <si>
    <t>SEGMENTACION_ESTRATEGICA_GIE</t>
  </si>
  <si>
    <t>Clasificación del cliente según el Customer Life Time Value (CLV), asociados al Grupo de Interés Económico de la Empresa Cliente.</t>
  </si>
  <si>
    <t>ARQUETIPO</t>
  </si>
  <si>
    <t>Clusterización con características más específicas de los segmentos operativos</t>
  </si>
  <si>
    <t>MOTIVO_SEGMENTACION</t>
  </si>
  <si>
    <t>Motivo de asignación a segmentación estratégica</t>
  </si>
  <si>
    <t>IVP_RANGO</t>
  </si>
  <si>
    <t>Rango del Índice de Vinculación Ponderado</t>
  </si>
  <si>
    <t>CLV_INDICADOR_CLIENTE</t>
  </si>
  <si>
    <t>Indicador de Customer Lifetime Value</t>
  </si>
  <si>
    <t>CLV_BANCO_BRUTO</t>
  </si>
  <si>
    <t>Customer Lifetime Value bruto</t>
  </si>
  <si>
    <t>NUEVO_MES_FLAG</t>
  </si>
  <si>
    <t>Indica si el cliente es nuevo con respecto al mes anterior</t>
  </si>
  <si>
    <t>Nuevo = 1, No es nuevo = 0</t>
  </si>
  <si>
    <t>NIVEL_DIGITALIZACION</t>
  </si>
  <si>
    <t>Nivel de digitalización del cliente en Banco Promerica</t>
  </si>
  <si>
    <t>NUEVO_FLAG</t>
  </si>
  <si>
    <t>Indica si es un cliente nuevo respecto al año anterior</t>
  </si>
  <si>
    <t>SEGMENTACION_OPERATIVA</t>
  </si>
  <si>
    <t>Clusterización del cliente según su etapa del ciclo de vida o tamaño de la empresa</t>
  </si>
  <si>
    <t>SEGMENTACION_ESTRATEGICA</t>
  </si>
  <si>
    <t>Clasificación del cliente según el Customer Lifetime Value (CLV)</t>
  </si>
  <si>
    <t>SEGMENTACION_ESTRATEGICA_AJUSTADA</t>
  </si>
  <si>
    <t>Segmento estratégico ajustado al que pertenece el cliente según la última actualización</t>
  </si>
  <si>
    <t>TIPO_SEGMENTACION_ESTRATEGICA</t>
  </si>
  <si>
    <t>Indica si la metodología aplicada para obtener la Segmentación Estratégica es la Robusta o la Inicial</t>
  </si>
  <si>
    <t>SEGMENTACION_CARTERA</t>
  </si>
  <si>
    <t>Clusterizacion de acuerdo a la gestión del cliente y la segmentacion operativa</t>
  </si>
  <si>
    <t>SEGMENTACION_ESPECIALIZADA</t>
  </si>
  <si>
    <t>Clasificación del cliente según su comportamiento bancario</t>
  </si>
  <si>
    <t>SEGMENTACION_ESTRATEGICA_R</t>
  </si>
  <si>
    <t>Segmentación estratégica obtenida con el modelo robusto</t>
  </si>
  <si>
    <t>SEGMENTACION_ESTRATEGICA_E</t>
  </si>
  <si>
    <t>Segmentación estratégica obtenida con el modelo estimado</t>
  </si>
  <si>
    <t>SEGMENTACION_ESTRATEGICA_RIESGO</t>
  </si>
  <si>
    <t>Segmentación estratégica obtenida con regla de riesgo</t>
  </si>
  <si>
    <t>SEGMENTACION_ESTRATEGICA_REGLAS</t>
  </si>
  <si>
    <t>Segmentación estratégica obtenida con reglas de negocio</t>
  </si>
  <si>
    <t>ASIGNADO_MODELO_DETALLE</t>
  </si>
  <si>
    <t>Detalle de asignación del segmento estratégico</t>
  </si>
  <si>
    <t>Revisar variable</t>
  </si>
  <si>
    <t>SALDO_ACTIVOS_CIC</t>
  </si>
  <si>
    <t>Monto total en dólares de crédito desembolsado en todo el sistema financiero</t>
  </si>
  <si>
    <t>Detalle del identificador:</t>
  </si>
  <si>
    <t>Construcción:</t>
  </si>
  <si>
    <t>MA + Categoría + Consecutivo</t>
  </si>
  <si>
    <t>Componente</t>
  </si>
  <si>
    <t>Cómo se obtiene</t>
  </si>
  <si>
    <t>Ejemplo</t>
  </si>
  <si>
    <t>Tabla (MA)</t>
  </si>
  <si>
    <t>Primera letra de cada palabra del nombre de la tabla (Master Analytics)</t>
  </si>
  <si>
    <t>MA</t>
  </si>
  <si>
    <t>Categoría (XXX)</t>
  </si>
  <si>
    <t>Primeras tres letras del nombre de la categoría a la que pertenece la variable</t>
  </si>
  <si>
    <t>DEM</t>
  </si>
  <si>
    <t>Consecutivo (NNN)</t>
  </si>
  <si>
    <t>Número secuencial de tres dígitos, que inicia en 001 para cada categoría</t>
  </si>
  <si>
    <t>001</t>
  </si>
  <si>
    <t>Detalle de las categorías:</t>
  </si>
  <si>
    <t>Descripción</t>
  </si>
  <si>
    <t>Canales Digitales</t>
  </si>
  <si>
    <t>Contiene información sobre el acceso y uso de los canales digitales del cliente, incluyendo la existencia de credenciales, fechas de activación y el estado de enrolamiento en plataformas o aplicaciones en línea del banco.</t>
  </si>
  <si>
    <t>Demográfico</t>
  </si>
  <si>
    <t>Contiene información que describe al cliente y su entorno personal y laboral. Incluye datos de identificación, características sociodemográficas como edad, sexo, estado civil, nivel educativo, ocupación, nacionalidad y composición familiar, así como medios de contacto y detalles básicos sobre su situación laboral y tipo de cliente.</t>
  </si>
  <si>
    <t>Empresas</t>
  </si>
  <si>
    <t>Incluye información sobre los clientes de tipo jurídico y las características principales de su operación. Contempla datos sobre su actividad económica, tamaño y clasificación empresarial, estructura laboral, montos de activos y ventas, así como detalles sobre su representante legal, grupo de interés económico y condición de pertenencia a entidades o corporaciones específicas.</t>
  </si>
  <si>
    <t>Geográfico</t>
  </si>
  <si>
    <t>Contiene información relacionada con la ubicación del cliente, tanto a nivel de domicilio como de lugar de trabajo y registro electoral. Incluye datos de localización por país, provincia, cantón y distrito, así como coordenadas geográficas que permiten identificar la posición exacta del cliente o de su empresa,</t>
  </si>
  <si>
    <t>Gestiones</t>
  </si>
  <si>
    <t>Agrupa información sobre las gestiones o trámites realizados por el cliente ante el banco. Incluye registros de solicitudes de servicio, cancelaciones, reportes de inconformidad, movimientos asociados a salidas del país y otros tipos de gestiones vinculadas a la atención y administración de sus productos.</t>
  </si>
  <si>
    <t>Negocio</t>
  </si>
  <si>
    <t>Reúne información relacionada con la gestión comercial y la asignación interna del cliente dentro del banco. Incluye datos sobre el promotor o ejecutivo responsable, la unidad o área funcional a la que pertenece, la gerencia asignada y la relación laboral o comercial que pueda tener con empresas del Grupo Huella o con Banco Promerica.</t>
  </si>
  <si>
    <t>Otros</t>
  </si>
  <si>
    <t>Producto</t>
  </si>
  <si>
    <t>Contiene información sobre los productos financieros que posee y utiliza el cliente, así como las transacciones asociadas a cada uno de ellos. Incluye cuentas, créditos, tarjetas, certificados de inversión, transferencias y otros servicios financieros, detallando tanto la cantidad de productos activos e inactivos, como los saldos, montos de transacciones y el uso de servicios complementarios ofrecidos por el banco.</t>
  </si>
  <si>
    <t>Rentabilidad</t>
  </si>
  <si>
    <t>Incluye información sobre la rentabilidad del cliente según los modelos internos del banco. Contempla estimaciones de ingresos, gastos, márgenes financieros, contribución neta y resultados acumulados, proporcionando una visión del desempeño financiero del cliente para la evaluación de su rentabilidad.</t>
  </si>
  <si>
    <t>Riesgo</t>
  </si>
  <si>
    <t xml:space="preserve">Incluye información sobre la evaluación y gestión del riesgo crediticio del cliente. Contempla morosidad, puntajes y categorías de riesgo, comportamientos de pago históricos, exposiciones financieras, cuotas, operaciones con la competencia y su inclusión en listas de control o alertas. </t>
  </si>
  <si>
    <t>Riqueza</t>
  </si>
  <si>
    <t>Contiene información sobre la situación económica y patrimonial del cliente. Incluye ingresos, nivel socioeconómico, cantidad y valor de bienes inmuebles y muebles, así como la composición total del patrimonio registrado, proporcionando una visión integral de su capacidad económica.</t>
  </si>
  <si>
    <t>Transaccional</t>
  </si>
  <si>
    <t>Incluye información sobre las transacciones financieras realizadas por el cliente. Contempla compras, retiros, intereses y comisiones, proporcionando una visión del comportamiento transaccional del cliente.</t>
  </si>
  <si>
    <t>Vinculación</t>
  </si>
  <si>
    <t>Contiene información sobre la relación y el grado de compromiso del cliente con el banco. Incluye datos sobre la antigüedad y estado del cliente, índices de vinculación y activación, segmentaciones estratégicas y operativas, Customer Lifetime Value, nivel de digitalización y crédito total desembolsado.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</si>
</sst>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2"/>
      <color theme="1"/>
      <name val="Museo Sans 300"/>
      <family val="3"/>
    </font>
    <font>
      <b/>
      <sz val="14"/>
      <color theme="0"/>
      <name val="Museo Sans 300"/>
      <family val="3"/>
    </font>
    <font>
      <sz val="12"/>
      <color theme="1"/>
      <name val="Museo Sans 100"/>
    </font>
    <font>
      <b/>
      <sz val="12"/>
      <color theme="1"/>
      <name val="Museo Sans 100"/>
    </font>
    <font>
      <sz val="11"/>
      <color theme="1"/>
      <name val="Museo Sans 100"/>
    </font>
    <font>
      <b/>
      <sz val="11"/>
      <color theme="1"/>
      <name val="Museo Sans 100"/>
    </font>
    <font>
      <b/>
      <sz val="12"/>
      <color rgb="FFFFFFFF"/>
      <name val="Museo Sans 100"/>
    </font>
    <font>
      <b/>
      <sz val="11"/>
      <color rgb="FF000000"/>
      <name val="Museo Sans 100"/>
    </font>
    <font>
      <sz val="11"/>
      <color rgb="FF000000"/>
      <name val="Museo Sans 100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70AD47"/>
        <bgColor rgb="FF70AD47"/>
      </patternFill>
    </fill>
  </fills>
  <borders count="10">
    <border>
      <left/>
      <right/>
      <top/>
      <bottom/>
      <diagonal/>
    </border>
    <border>
      <left style="thin">
        <color rgb="FF70AD47"/>
      </left>
      <right/>
      <top style="thin">
        <color rgb="FF70AD47"/>
      </top>
      <bottom/>
      <diagonal/>
    </border>
    <border>
      <left style="thin">
        <color rgb="FF70AD47"/>
      </left>
      <right/>
      <top style="thin">
        <color rgb="FF70AD47"/>
      </top>
      <bottom style="thin">
        <color rgb="FF70AD47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/>
      <right style="thin">
        <color theme="9"/>
      </right>
      <top style="thin">
        <color rgb="FF70AD47"/>
      </top>
      <bottom/>
      <diagonal/>
    </border>
    <border>
      <left/>
      <right/>
      <top style="thin">
        <color rgb="FF70AD47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6" fillId="0" borderId="4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center"/>
    </xf>
    <xf numFmtId="0" fontId="5" fillId="0" borderId="7" xfId="0" applyFont="1" applyBorder="1"/>
    <xf numFmtId="0" fontId="5" fillId="0" borderId="3" xfId="0" applyFont="1" applyBorder="1" applyAlignment="1">
      <alignment horizontal="center"/>
    </xf>
    <xf numFmtId="0" fontId="6" fillId="0" borderId="6" xfId="0" applyFont="1" applyBorder="1"/>
    <xf numFmtId="0" fontId="5" fillId="0" borderId="3" xfId="0" applyFont="1" applyBorder="1"/>
    <xf numFmtId="49" fontId="5" fillId="0" borderId="3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6" xfId="0" applyFont="1" applyBorder="1" applyAlignment="1">
      <alignment horizontal="left" wrapText="1"/>
    </xf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0BDE-F408-480D-8273-BEBF93B14875}">
  <dimension ref="A1:I362"/>
  <sheetViews>
    <sheetView showGridLines="0" tabSelected="1" topLeftCell="A338" zoomScale="90" zoomScaleNormal="90" workbookViewId="0">
      <selection activeCell="B351" sqref="B351"/>
    </sheetView>
  </sheetViews>
  <sheetFormatPr defaultColWidth="11.42578125" defaultRowHeight="15.75"/>
  <cols>
    <col min="1" max="1" width="18.7109375" style="6" customWidth="1"/>
    <col min="2" max="2" width="21.5703125" style="5" customWidth="1"/>
    <col min="3" max="3" width="11.42578125" style="5" customWidth="1"/>
    <col min="4" max="4" width="50.7109375" style="5" customWidth="1"/>
    <col min="5" max="5" width="68.28515625" style="5" customWidth="1"/>
    <col min="6" max="6" width="43.7109375" style="5" customWidth="1"/>
    <col min="7" max="7" width="40.28515625" style="2" customWidth="1"/>
    <col min="8" max="8" width="38" style="5" customWidth="1"/>
    <col min="9" max="9" width="32.7109375" style="1" bestFit="1" customWidth="1"/>
    <col min="10" max="16384" width="11.42578125" style="1"/>
  </cols>
  <sheetData>
    <row r="1" spans="1:9" ht="22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</row>
    <row r="2" spans="1:9" ht="36">
      <c r="A2" s="7" t="str">
        <f xml:space="preserve"> "MA" &amp; LEFT(B2,3) &amp; TEXT(COUNTIF($B$2:B2,B2),"000")</f>
        <v>MACAN001</v>
      </c>
      <c r="B2" s="7" t="s">
        <v>8</v>
      </c>
      <c r="C2" s="7" t="s">
        <v>9</v>
      </c>
      <c r="D2" s="7" t="s">
        <v>10</v>
      </c>
      <c r="E2" s="7" t="s">
        <v>11</v>
      </c>
      <c r="F2" s="7"/>
      <c r="G2" s="7"/>
      <c r="H2" s="7" t="s">
        <v>12</v>
      </c>
      <c r="I2" s="7"/>
    </row>
    <row r="3" spans="1:9" ht="39.75" customHeight="1">
      <c r="A3" s="7" t="str">
        <f xml:space="preserve"> "MA" &amp; LEFT(B3,3) &amp; TEXT(COUNTIF($B$2:B3,B3),"000")</f>
        <v>MACAN002</v>
      </c>
      <c r="B3" s="7" t="s">
        <v>8</v>
      </c>
      <c r="C3" s="7" t="s">
        <v>13</v>
      </c>
      <c r="D3" s="7" t="s">
        <v>14</v>
      </c>
      <c r="E3" s="7" t="s">
        <v>15</v>
      </c>
      <c r="F3" s="7"/>
      <c r="G3" s="7"/>
      <c r="H3" s="7" t="s">
        <v>16</v>
      </c>
      <c r="I3" s="7"/>
    </row>
    <row r="4" spans="1:9" ht="31.5" customHeight="1">
      <c r="A4" s="7" t="str">
        <f xml:space="preserve"> "MA" &amp; LEFT(B4,3) &amp; TEXT(COUNTIF($B$2:B4,B4),"000")</f>
        <v>MACAN003</v>
      </c>
      <c r="B4" s="7" t="s">
        <v>8</v>
      </c>
      <c r="C4" s="7" t="s">
        <v>9</v>
      </c>
      <c r="D4" s="7" t="s">
        <v>17</v>
      </c>
      <c r="E4" s="7" t="s">
        <v>18</v>
      </c>
      <c r="F4" s="7"/>
      <c r="G4" s="7"/>
      <c r="H4" s="7" t="s">
        <v>16</v>
      </c>
      <c r="I4" s="7"/>
    </row>
    <row r="5" spans="1:9" ht="28.5" customHeight="1">
      <c r="A5" s="7" t="str">
        <f xml:space="preserve"> "MA" &amp; LEFT(B5,3) &amp; TEXT(COUNTIF($B$2:B5,B5),"000")</f>
        <v>MADEM001</v>
      </c>
      <c r="B5" s="7" t="s">
        <v>19</v>
      </c>
      <c r="C5" s="7" t="s">
        <v>20</v>
      </c>
      <c r="D5" s="7" t="s">
        <v>21</v>
      </c>
      <c r="E5" s="7" t="s">
        <v>22</v>
      </c>
      <c r="F5" s="7"/>
      <c r="G5" s="7"/>
      <c r="H5" s="7" t="s">
        <v>23</v>
      </c>
      <c r="I5" s="7"/>
    </row>
    <row r="6" spans="1:9" ht="31.5" customHeight="1">
      <c r="A6" s="7" t="str">
        <f xml:space="preserve"> "MA" &amp; LEFT(B6,3) &amp; TEXT(COUNTIF($B$2:B6,B6),"000")</f>
        <v>MADEM002</v>
      </c>
      <c r="B6" s="7" t="s">
        <v>19</v>
      </c>
      <c r="C6" s="7" t="s">
        <v>20</v>
      </c>
      <c r="D6" s="7" t="s">
        <v>0</v>
      </c>
      <c r="E6" s="7" t="s">
        <v>24</v>
      </c>
      <c r="F6" s="7"/>
      <c r="G6" s="7"/>
      <c r="H6" s="7" t="s">
        <v>23</v>
      </c>
      <c r="I6" s="7"/>
    </row>
    <row r="7" spans="1:9" ht="20.25" customHeight="1">
      <c r="A7" s="7" t="str">
        <f xml:space="preserve"> "MA" &amp; LEFT(B7,3) &amp; TEXT(COUNTIF($B$2:B7,B7),"000")</f>
        <v>MADEM003</v>
      </c>
      <c r="B7" s="7" t="s">
        <v>19</v>
      </c>
      <c r="C7" s="7" t="s">
        <v>20</v>
      </c>
      <c r="D7" s="7" t="s">
        <v>25</v>
      </c>
      <c r="E7" s="7" t="s">
        <v>26</v>
      </c>
      <c r="F7" s="7" t="s">
        <v>27</v>
      </c>
      <c r="G7" s="7"/>
      <c r="H7" s="7" t="s">
        <v>28</v>
      </c>
      <c r="I7" s="7"/>
    </row>
    <row r="8" spans="1:9" ht="32.25" customHeight="1">
      <c r="A8" s="7" t="str">
        <f xml:space="preserve"> "MA" &amp; LEFT(B8,3) &amp; TEXT(COUNTIF($B$2:B8,B8),"000")</f>
        <v>MADEM004</v>
      </c>
      <c r="B8" s="7" t="s">
        <v>19</v>
      </c>
      <c r="C8" s="7" t="s">
        <v>20</v>
      </c>
      <c r="D8" s="7" t="s">
        <v>29</v>
      </c>
      <c r="E8" s="7" t="s">
        <v>30</v>
      </c>
      <c r="F8" s="7"/>
      <c r="G8" s="7"/>
      <c r="H8" s="7" t="s">
        <v>23</v>
      </c>
      <c r="I8" s="7"/>
    </row>
    <row r="9" spans="1:9" ht="17.25">
      <c r="A9" s="7" t="str">
        <f xml:space="preserve"> "MA" &amp; LEFT(B9,3) &amp; TEXT(COUNTIF($B$2:B9,B9),"000")</f>
        <v>MADEM005</v>
      </c>
      <c r="B9" s="7" t="s">
        <v>19</v>
      </c>
      <c r="C9" s="7" t="s">
        <v>20</v>
      </c>
      <c r="D9" s="7" t="s">
        <v>31</v>
      </c>
      <c r="E9" s="7" t="s">
        <v>32</v>
      </c>
      <c r="F9" s="7" t="s">
        <v>33</v>
      </c>
      <c r="G9" s="7"/>
      <c r="H9" s="7" t="s">
        <v>28</v>
      </c>
      <c r="I9" s="7"/>
    </row>
    <row r="10" spans="1:9" ht="30.75" customHeight="1">
      <c r="A10" s="7" t="str">
        <f xml:space="preserve"> "MA" &amp; LEFT(B10,3) &amp; TEXT(COUNTIF($B$2:B10,B10),"000")</f>
        <v>MADEM006</v>
      </c>
      <c r="B10" s="7" t="s">
        <v>19</v>
      </c>
      <c r="C10" s="7" t="s">
        <v>9</v>
      </c>
      <c r="D10" s="7" t="s">
        <v>34</v>
      </c>
      <c r="E10" s="7" t="s">
        <v>35</v>
      </c>
      <c r="F10" s="7"/>
      <c r="G10" s="7"/>
      <c r="H10" s="7" t="s">
        <v>28</v>
      </c>
      <c r="I10" s="7"/>
    </row>
    <row r="11" spans="1:9" ht="62.25" customHeight="1">
      <c r="A11" s="7" t="str">
        <f xml:space="preserve"> "MA" &amp; LEFT(B11,3) &amp; TEXT(COUNTIF($B$2:B11,B11),"000")</f>
        <v>MADEM007</v>
      </c>
      <c r="B11" s="7" t="s">
        <v>19</v>
      </c>
      <c r="C11" s="7" t="s">
        <v>20</v>
      </c>
      <c r="D11" s="7" t="s">
        <v>36</v>
      </c>
      <c r="E11" s="7" t="s">
        <v>37</v>
      </c>
      <c r="F11" s="7" t="s">
        <v>38</v>
      </c>
      <c r="G11" s="7"/>
      <c r="H11" s="7" t="s">
        <v>28</v>
      </c>
      <c r="I11" s="7"/>
    </row>
    <row r="12" spans="1:9" ht="17.25">
      <c r="A12" s="7" t="str">
        <f xml:space="preserve"> "MA" &amp; LEFT(B12,3) &amp; TEXT(COUNTIF($B$2:B12,B12),"000")</f>
        <v>MADEM008</v>
      </c>
      <c r="B12" s="7" t="s">
        <v>19</v>
      </c>
      <c r="C12" s="7" t="s">
        <v>20</v>
      </c>
      <c r="D12" s="7" t="s">
        <v>39</v>
      </c>
      <c r="E12" s="7" t="s">
        <v>40</v>
      </c>
      <c r="F12" s="7"/>
      <c r="G12" s="7"/>
      <c r="H12" s="7" t="s">
        <v>28</v>
      </c>
      <c r="I12" s="7"/>
    </row>
    <row r="13" spans="1:9" ht="35.25" customHeight="1">
      <c r="A13" s="7" t="str">
        <f xml:space="preserve"> "MA" &amp; LEFT(B13,3) &amp; TEXT(COUNTIF($B$2:B13,B13),"000")</f>
        <v>MADEM009</v>
      </c>
      <c r="B13" s="7" t="s">
        <v>19</v>
      </c>
      <c r="C13" s="7" t="s">
        <v>20</v>
      </c>
      <c r="D13" s="7" t="s">
        <v>41</v>
      </c>
      <c r="E13" s="7" t="s">
        <v>42</v>
      </c>
      <c r="F13" s="7"/>
      <c r="G13" s="7"/>
      <c r="H13" s="7" t="s">
        <v>43</v>
      </c>
      <c r="I13" s="7"/>
    </row>
    <row r="14" spans="1:9" ht="28.5" customHeight="1">
      <c r="A14" s="7" t="str">
        <f xml:space="preserve"> "MA" &amp; LEFT(B14,3) &amp; TEXT(COUNTIF($B$2:B14,B14),"000")</f>
        <v>MADEM010</v>
      </c>
      <c r="B14" s="7" t="s">
        <v>19</v>
      </c>
      <c r="C14" s="7" t="s">
        <v>20</v>
      </c>
      <c r="D14" s="7" t="s">
        <v>44</v>
      </c>
      <c r="E14" s="7" t="s">
        <v>45</v>
      </c>
      <c r="F14" s="7"/>
      <c r="G14" s="7"/>
      <c r="H14" s="7" t="s">
        <v>43</v>
      </c>
      <c r="I14" s="7"/>
    </row>
    <row r="15" spans="1:9" ht="28.5" customHeight="1">
      <c r="A15" s="7" t="str">
        <f xml:space="preserve"> "MA" &amp; LEFT(B15,3) &amp; TEXT(COUNTIF($B$2:B15,B15),"000")</f>
        <v>MADEM011</v>
      </c>
      <c r="B15" s="7" t="s">
        <v>19</v>
      </c>
      <c r="C15" s="7" t="s">
        <v>20</v>
      </c>
      <c r="D15" s="7" t="s">
        <v>46</v>
      </c>
      <c r="E15" s="7" t="s">
        <v>47</v>
      </c>
      <c r="F15" s="7" t="s">
        <v>48</v>
      </c>
      <c r="G15" s="7"/>
      <c r="H15" s="7" t="s">
        <v>28</v>
      </c>
      <c r="I15" s="7"/>
    </row>
    <row r="16" spans="1:9" ht="17.25">
      <c r="A16" s="7" t="str">
        <f xml:space="preserve"> "MA" &amp; LEFT(B16,3) &amp; TEXT(COUNTIF($B$2:B16,B16),"000")</f>
        <v>MADEM012</v>
      </c>
      <c r="B16" s="7" t="s">
        <v>19</v>
      </c>
      <c r="C16" s="7" t="s">
        <v>20</v>
      </c>
      <c r="D16" s="7" t="s">
        <v>49</v>
      </c>
      <c r="E16" s="7" t="s">
        <v>50</v>
      </c>
      <c r="F16" s="7"/>
      <c r="G16" s="7"/>
      <c r="H16" s="7" t="s">
        <v>28</v>
      </c>
      <c r="I16" s="7"/>
    </row>
    <row r="17" spans="1:9" ht="17.25">
      <c r="A17" s="7" t="str">
        <f xml:space="preserve"> "MA" &amp; LEFT(B17,3) &amp; TEXT(COUNTIF($B$2:B17,B17),"000")</f>
        <v>MADEM013</v>
      </c>
      <c r="B17" s="7" t="s">
        <v>19</v>
      </c>
      <c r="C17" s="7" t="s">
        <v>20</v>
      </c>
      <c r="D17" s="7" t="s">
        <v>51</v>
      </c>
      <c r="E17" s="7" t="s">
        <v>52</v>
      </c>
      <c r="F17" s="7"/>
      <c r="G17" s="7"/>
      <c r="H17" s="7" t="s">
        <v>28</v>
      </c>
      <c r="I17" s="7"/>
    </row>
    <row r="18" spans="1:9" ht="32.25" customHeight="1">
      <c r="A18" s="7" t="str">
        <f xml:space="preserve"> "MA" &amp; LEFT(B18,3) &amp; TEXT(COUNTIF($B$2:B18,B18),"000")</f>
        <v>MADEM014</v>
      </c>
      <c r="B18" s="7" t="s">
        <v>19</v>
      </c>
      <c r="C18" s="7" t="s">
        <v>9</v>
      </c>
      <c r="D18" s="7" t="s">
        <v>53</v>
      </c>
      <c r="E18" s="7" t="s">
        <v>54</v>
      </c>
      <c r="F18" s="7"/>
      <c r="G18" s="7"/>
      <c r="H18" s="7" t="s">
        <v>28</v>
      </c>
      <c r="I18" s="7"/>
    </row>
    <row r="19" spans="1:9" ht="26.25" customHeight="1">
      <c r="A19" s="7" t="str">
        <f xml:space="preserve"> "MA" &amp; LEFT(B19,3) &amp; TEXT(COUNTIF($B$2:B19,B19),"000")</f>
        <v>MADEM015</v>
      </c>
      <c r="B19" s="7" t="s">
        <v>19</v>
      </c>
      <c r="C19" s="7" t="s">
        <v>9</v>
      </c>
      <c r="D19" s="7" t="s">
        <v>55</v>
      </c>
      <c r="E19" s="7" t="s">
        <v>56</v>
      </c>
      <c r="F19" s="7"/>
      <c r="G19" s="7"/>
      <c r="H19" s="7" t="s">
        <v>43</v>
      </c>
      <c r="I19" s="7"/>
    </row>
    <row r="20" spans="1:9" ht="36">
      <c r="A20" s="7" t="str">
        <f xml:space="preserve"> "MA" &amp; LEFT(B20,3) &amp; TEXT(COUNTIF($B$2:B20,B20),"000")</f>
        <v>MADEM016</v>
      </c>
      <c r="B20" s="7" t="s">
        <v>19</v>
      </c>
      <c r="C20" s="7" t="s">
        <v>9</v>
      </c>
      <c r="D20" s="7" t="s">
        <v>57</v>
      </c>
      <c r="E20" s="7" t="s">
        <v>58</v>
      </c>
      <c r="F20" s="7"/>
      <c r="G20" s="7"/>
      <c r="H20" s="7" t="s">
        <v>43</v>
      </c>
      <c r="I20" s="7"/>
    </row>
    <row r="21" spans="1:9" ht="17.25">
      <c r="A21" s="7" t="str">
        <f xml:space="preserve"> "MA" &amp; LEFT(B21,3) &amp; TEXT(COUNTIF($B$2:B21,B21),"000")</f>
        <v>MADEM017</v>
      </c>
      <c r="B21" s="7" t="s">
        <v>19</v>
      </c>
      <c r="C21" s="7" t="s">
        <v>20</v>
      </c>
      <c r="D21" s="7" t="s">
        <v>59</v>
      </c>
      <c r="E21" s="7" t="s">
        <v>60</v>
      </c>
      <c r="F21" s="7"/>
      <c r="G21" s="7"/>
      <c r="H21" s="7" t="s">
        <v>28</v>
      </c>
      <c r="I21" s="7"/>
    </row>
    <row r="22" spans="1:9" ht="17.25">
      <c r="A22" s="7" t="str">
        <f xml:space="preserve"> "MA" &amp; LEFT(B22,3) &amp; TEXT(COUNTIF($B$2:B22,B22),"000")</f>
        <v>MADEM018</v>
      </c>
      <c r="B22" s="7" t="s">
        <v>19</v>
      </c>
      <c r="C22" s="7" t="s">
        <v>20</v>
      </c>
      <c r="D22" s="7" t="s">
        <v>61</v>
      </c>
      <c r="E22" s="7" t="s">
        <v>62</v>
      </c>
      <c r="F22" s="7"/>
      <c r="G22" s="7"/>
      <c r="H22" s="7" t="s">
        <v>28</v>
      </c>
      <c r="I22" s="7"/>
    </row>
    <row r="23" spans="1:9" ht="17.25">
      <c r="A23" s="7" t="str">
        <f xml:space="preserve"> "MA" &amp; LEFT(B23,3) &amp; TEXT(COUNTIF($B$2:B23,B23),"000")</f>
        <v>MADEM019</v>
      </c>
      <c r="B23" s="7" t="s">
        <v>19</v>
      </c>
      <c r="C23" s="7" t="s">
        <v>9</v>
      </c>
      <c r="D23" s="7" t="s">
        <v>63</v>
      </c>
      <c r="E23" s="7" t="s">
        <v>64</v>
      </c>
      <c r="F23" s="7"/>
      <c r="G23" s="7"/>
      <c r="H23" s="7" t="s">
        <v>28</v>
      </c>
      <c r="I23" s="7"/>
    </row>
    <row r="24" spans="1:9" ht="17.25">
      <c r="A24" s="7" t="str">
        <f xml:space="preserve"> "MA" &amp; LEFT(B24,3) &amp; TEXT(COUNTIF($B$2:B24,B24),"000")</f>
        <v>MADEM020</v>
      </c>
      <c r="B24" s="7" t="s">
        <v>19</v>
      </c>
      <c r="C24" s="7" t="s">
        <v>65</v>
      </c>
      <c r="D24" s="7" t="s">
        <v>66</v>
      </c>
      <c r="E24" s="7" t="s">
        <v>67</v>
      </c>
      <c r="F24" s="7"/>
      <c r="G24" s="7"/>
      <c r="H24" s="7" t="s">
        <v>28</v>
      </c>
      <c r="I24" s="7"/>
    </row>
    <row r="25" spans="1:9" ht="30" customHeight="1">
      <c r="A25" s="7" t="str">
        <f xml:space="preserve"> "MA" &amp; LEFT(B25,3) &amp; TEXT(COUNTIF($B$2:B25,B25),"000")</f>
        <v>MADEM021</v>
      </c>
      <c r="B25" s="7" t="s">
        <v>19</v>
      </c>
      <c r="C25" s="7" t="s">
        <v>20</v>
      </c>
      <c r="D25" s="7" t="s">
        <v>68</v>
      </c>
      <c r="E25" s="7" t="s">
        <v>69</v>
      </c>
      <c r="F25" s="7" t="s">
        <v>70</v>
      </c>
      <c r="G25" s="7"/>
      <c r="H25" s="7" t="s">
        <v>28</v>
      </c>
      <c r="I25" s="7"/>
    </row>
    <row r="26" spans="1:9" ht="17.25">
      <c r="A26" s="7" t="str">
        <f xml:space="preserve"> "MA" &amp; LEFT(B26,3) &amp; TEXT(COUNTIF($B$2:B26,B26),"000")</f>
        <v>MADEM022</v>
      </c>
      <c r="B26" s="7" t="s">
        <v>19</v>
      </c>
      <c r="C26" s="7" t="s">
        <v>20</v>
      </c>
      <c r="D26" s="7" t="s">
        <v>71</v>
      </c>
      <c r="E26" s="7" t="s">
        <v>72</v>
      </c>
      <c r="F26" s="7"/>
      <c r="G26" s="7"/>
      <c r="H26" s="7" t="s">
        <v>12</v>
      </c>
      <c r="I26" s="7"/>
    </row>
    <row r="27" spans="1:9" ht="17.25">
      <c r="A27" s="7" t="str">
        <f xml:space="preserve"> "MA" &amp; LEFT(B27,3) &amp; TEXT(COUNTIF($B$2:B27,B27),"000")</f>
        <v>MADEM023</v>
      </c>
      <c r="B27" s="7" t="s">
        <v>19</v>
      </c>
      <c r="C27" s="7" t="s">
        <v>20</v>
      </c>
      <c r="D27" s="7" t="s">
        <v>73</v>
      </c>
      <c r="E27" s="7" t="s">
        <v>74</v>
      </c>
      <c r="F27" s="7"/>
      <c r="G27" s="7"/>
      <c r="H27" s="7" t="s">
        <v>12</v>
      </c>
      <c r="I27" s="7"/>
    </row>
    <row r="28" spans="1:9" ht="36">
      <c r="A28" s="7" t="str">
        <f xml:space="preserve"> "MA" &amp; LEFT(B28,3) &amp; TEXT(COUNTIF($B$2:B28,B28),"000")</f>
        <v>MADEM024</v>
      </c>
      <c r="B28" s="7" t="s">
        <v>19</v>
      </c>
      <c r="C28" s="7" t="s">
        <v>20</v>
      </c>
      <c r="D28" s="7" t="s">
        <v>75</v>
      </c>
      <c r="E28" s="7" t="s">
        <v>76</v>
      </c>
      <c r="F28" s="7" t="s">
        <v>77</v>
      </c>
      <c r="G28" s="7"/>
      <c r="H28" s="7" t="s">
        <v>43</v>
      </c>
      <c r="I28" s="7"/>
    </row>
    <row r="29" spans="1:9" ht="36">
      <c r="A29" s="7" t="str">
        <f xml:space="preserve"> "MA" &amp; LEFT(B29,3) &amp; TEXT(COUNTIF($B$2:B29,B29),"000")</f>
        <v>MADEM025</v>
      </c>
      <c r="B29" s="7" t="s">
        <v>19</v>
      </c>
      <c r="C29" s="7" t="s">
        <v>13</v>
      </c>
      <c r="D29" s="7" t="s">
        <v>78</v>
      </c>
      <c r="E29" s="7" t="s">
        <v>79</v>
      </c>
      <c r="F29" s="7"/>
      <c r="G29" s="7" t="s">
        <v>80</v>
      </c>
      <c r="H29" s="7" t="s">
        <v>16</v>
      </c>
      <c r="I29" s="7"/>
    </row>
    <row r="30" spans="1:9" ht="36">
      <c r="A30" s="7" t="str">
        <f xml:space="preserve"> "MA" &amp; LEFT(B30,3) &amp; TEXT(COUNTIF($B$2:B30,B30),"000")</f>
        <v>MADEM026</v>
      </c>
      <c r="B30" s="7" t="s">
        <v>19</v>
      </c>
      <c r="C30" s="7" t="s">
        <v>20</v>
      </c>
      <c r="D30" s="7" t="s">
        <v>81</v>
      </c>
      <c r="E30" s="7" t="s">
        <v>82</v>
      </c>
      <c r="F30" s="7" t="s">
        <v>83</v>
      </c>
      <c r="G30" s="7"/>
      <c r="H30" s="7" t="s">
        <v>28</v>
      </c>
      <c r="I30" s="7"/>
    </row>
    <row r="31" spans="1:9" ht="17.25">
      <c r="A31" s="7" t="str">
        <f xml:space="preserve"> "MA" &amp; LEFT(B31,3) &amp; TEXT(COUNTIF($B$2:B31,B31),"000")</f>
        <v>MAEMP001</v>
      </c>
      <c r="B31" s="7" t="s">
        <v>84</v>
      </c>
      <c r="C31" s="7" t="s">
        <v>20</v>
      </c>
      <c r="D31" s="7" t="s">
        <v>85</v>
      </c>
      <c r="E31" s="7" t="s">
        <v>86</v>
      </c>
      <c r="F31" s="7"/>
      <c r="G31" s="7" t="s">
        <v>87</v>
      </c>
      <c r="H31" s="7" t="s">
        <v>88</v>
      </c>
      <c r="I31" s="7"/>
    </row>
    <row r="32" spans="1:9" ht="17.25">
      <c r="A32" s="7" t="str">
        <f xml:space="preserve"> "MA" &amp; LEFT(B32,3) &amp; TEXT(COUNTIF($B$2:B32,B32),"000")</f>
        <v>MAEMP002</v>
      </c>
      <c r="B32" s="7" t="s">
        <v>84</v>
      </c>
      <c r="C32" s="7" t="s">
        <v>9</v>
      </c>
      <c r="D32" s="7" t="s">
        <v>89</v>
      </c>
      <c r="E32" s="7" t="s">
        <v>90</v>
      </c>
      <c r="F32" s="7"/>
      <c r="G32" s="7"/>
      <c r="H32" s="7" t="s">
        <v>12</v>
      </c>
      <c r="I32" s="7"/>
    </row>
    <row r="33" spans="1:9" ht="46.5" customHeight="1">
      <c r="A33" s="7" t="str">
        <f xml:space="preserve"> "MA" &amp; LEFT(B33,3) &amp; TEXT(COUNTIF($B$2:B33,B33),"000")</f>
        <v>MAEMP003</v>
      </c>
      <c r="B33" s="7" t="s">
        <v>84</v>
      </c>
      <c r="C33" s="7" t="s">
        <v>20</v>
      </c>
      <c r="D33" s="7" t="s">
        <v>91</v>
      </c>
      <c r="E33" s="7" t="s">
        <v>92</v>
      </c>
      <c r="F33" s="7"/>
      <c r="G33" s="7"/>
      <c r="H33" s="7" t="s">
        <v>88</v>
      </c>
      <c r="I33" s="7"/>
    </row>
    <row r="34" spans="1:9" ht="17.25">
      <c r="A34" s="7" t="str">
        <f xml:space="preserve"> "MA" &amp; LEFT(B34,3) &amp; TEXT(COUNTIF($B$2:B34,B34),"000")</f>
        <v>MAEMP004</v>
      </c>
      <c r="B34" s="7" t="s">
        <v>84</v>
      </c>
      <c r="C34" s="7" t="s">
        <v>20</v>
      </c>
      <c r="D34" s="7" t="s">
        <v>93</v>
      </c>
      <c r="E34" s="7" t="s">
        <v>94</v>
      </c>
      <c r="F34" s="7"/>
      <c r="G34" s="7"/>
      <c r="H34" s="7" t="s">
        <v>88</v>
      </c>
      <c r="I34" s="7"/>
    </row>
    <row r="35" spans="1:9" ht="17.25">
      <c r="A35" s="7" t="str">
        <f xml:space="preserve"> "MA" &amp; LEFT(B35,3) &amp; TEXT(COUNTIF($B$2:B35,B35),"000")</f>
        <v>MAEMP005</v>
      </c>
      <c r="B35" s="7" t="s">
        <v>84</v>
      </c>
      <c r="C35" s="7" t="s">
        <v>65</v>
      </c>
      <c r="D35" s="7" t="s">
        <v>95</v>
      </c>
      <c r="E35" s="7" t="s">
        <v>96</v>
      </c>
      <c r="F35" s="7"/>
      <c r="G35" s="7"/>
      <c r="H35" s="7" t="s">
        <v>88</v>
      </c>
      <c r="I35" s="7"/>
    </row>
    <row r="36" spans="1:9" ht="17.25">
      <c r="A36" s="7" t="str">
        <f xml:space="preserve"> "MA" &amp; LEFT(B36,3) &amp; TEXT(COUNTIF($B$2:B36,B36),"000")</f>
        <v>MAEMP006</v>
      </c>
      <c r="B36" s="7" t="s">
        <v>84</v>
      </c>
      <c r="C36" s="7" t="s">
        <v>9</v>
      </c>
      <c r="D36" s="7" t="s">
        <v>97</v>
      </c>
      <c r="E36" s="7" t="s">
        <v>98</v>
      </c>
      <c r="F36" s="7"/>
      <c r="G36" s="7"/>
      <c r="H36" s="7" t="s">
        <v>88</v>
      </c>
      <c r="I36" s="7"/>
    </row>
    <row r="37" spans="1:9" ht="17.25">
      <c r="A37" s="7" t="str">
        <f xml:space="preserve"> "MA" &amp; LEFT(B37,3) &amp; TEXT(COUNTIF($B$2:B37,B37),"000")</f>
        <v>MAEMP007</v>
      </c>
      <c r="B37" s="7" t="s">
        <v>84</v>
      </c>
      <c r="C37" s="7" t="s">
        <v>20</v>
      </c>
      <c r="D37" s="7" t="s">
        <v>99</v>
      </c>
      <c r="E37" s="7" t="s">
        <v>100</v>
      </c>
      <c r="F37" s="7"/>
      <c r="G37" s="7"/>
      <c r="H37" s="7" t="s">
        <v>88</v>
      </c>
      <c r="I37" s="7"/>
    </row>
    <row r="38" spans="1:9" ht="34.5" customHeight="1">
      <c r="A38" s="7" t="str">
        <f xml:space="preserve"> "MA" &amp; LEFT(B38,3) &amp; TEXT(COUNTIF($B$2:B38,B38),"000")</f>
        <v>MAEMP008</v>
      </c>
      <c r="B38" s="7" t="s">
        <v>84</v>
      </c>
      <c r="C38" s="7" t="s">
        <v>20</v>
      </c>
      <c r="D38" s="7" t="s">
        <v>101</v>
      </c>
      <c r="E38" s="7" t="s">
        <v>102</v>
      </c>
      <c r="F38" s="7"/>
      <c r="G38" s="7"/>
      <c r="H38" s="7" t="s">
        <v>88</v>
      </c>
      <c r="I38" s="7"/>
    </row>
    <row r="39" spans="1:9" ht="36">
      <c r="A39" s="7" t="str">
        <f xml:space="preserve"> "MA" &amp; LEFT(B39,3) &amp; TEXT(COUNTIF($B$2:B39,B39),"000")</f>
        <v>MAEMP009</v>
      </c>
      <c r="B39" s="7" t="s">
        <v>84</v>
      </c>
      <c r="C39" s="7" t="s">
        <v>20</v>
      </c>
      <c r="D39" s="7" t="s">
        <v>103</v>
      </c>
      <c r="E39" s="7" t="s">
        <v>104</v>
      </c>
      <c r="F39" s="7"/>
      <c r="G39" s="7"/>
      <c r="H39" s="7" t="s">
        <v>88</v>
      </c>
      <c r="I39" s="7"/>
    </row>
    <row r="40" spans="1:9" ht="36.75" customHeight="1">
      <c r="A40" s="7" t="str">
        <f xml:space="preserve"> "MA" &amp; LEFT(B40,3) &amp; TEXT(COUNTIF($B$2:B40,B40),"000")</f>
        <v>MAEMP010</v>
      </c>
      <c r="B40" s="7" t="s">
        <v>84</v>
      </c>
      <c r="C40" s="7" t="s">
        <v>20</v>
      </c>
      <c r="D40" s="7" t="s">
        <v>105</v>
      </c>
      <c r="E40" s="7" t="s">
        <v>106</v>
      </c>
      <c r="F40" s="7"/>
      <c r="G40" s="7"/>
      <c r="H40" s="7" t="s">
        <v>88</v>
      </c>
      <c r="I40" s="7"/>
    </row>
    <row r="41" spans="1:9" ht="24" customHeight="1">
      <c r="A41" s="7" t="str">
        <f xml:space="preserve"> "MA" &amp; LEFT(B41,3) &amp; TEXT(COUNTIF($B$2:B41,B41),"000")</f>
        <v>MAEMP011</v>
      </c>
      <c r="B41" s="7" t="s">
        <v>84</v>
      </c>
      <c r="C41" s="7" t="s">
        <v>65</v>
      </c>
      <c r="D41" s="7" t="s">
        <v>107</v>
      </c>
      <c r="E41" s="7" t="s">
        <v>108</v>
      </c>
      <c r="F41" s="7"/>
      <c r="G41" s="7"/>
      <c r="H41" s="7" t="s">
        <v>88</v>
      </c>
      <c r="I41" s="7"/>
    </row>
    <row r="42" spans="1:9" ht="36">
      <c r="A42" s="7" t="str">
        <f xml:space="preserve"> "MA" &amp; LEFT(B42,3) &amp; TEXT(COUNTIF($B$2:B42,B42),"000")</f>
        <v>MAEMP012</v>
      </c>
      <c r="B42" s="7" t="s">
        <v>84</v>
      </c>
      <c r="C42" s="7" t="s">
        <v>65</v>
      </c>
      <c r="D42" s="7" t="s">
        <v>109</v>
      </c>
      <c r="E42" s="7" t="s">
        <v>110</v>
      </c>
      <c r="F42" s="7"/>
      <c r="G42" s="7"/>
      <c r="H42" s="7" t="s">
        <v>88</v>
      </c>
      <c r="I42" s="7"/>
    </row>
    <row r="43" spans="1:9" ht="25.5" customHeight="1">
      <c r="A43" s="7" t="str">
        <f xml:space="preserve"> "MA" &amp; LEFT(B43,3) &amp; TEXT(COUNTIF($B$2:B43,B43),"000")</f>
        <v>MAEMP013</v>
      </c>
      <c r="B43" s="7" t="s">
        <v>84</v>
      </c>
      <c r="C43" s="7" t="s">
        <v>65</v>
      </c>
      <c r="D43" s="7" t="s">
        <v>111</v>
      </c>
      <c r="E43" s="7" t="s">
        <v>112</v>
      </c>
      <c r="F43" s="7"/>
      <c r="G43" s="7"/>
      <c r="H43" s="7" t="s">
        <v>88</v>
      </c>
      <c r="I43" s="7"/>
    </row>
    <row r="44" spans="1:9" ht="36">
      <c r="A44" s="7" t="str">
        <f xml:space="preserve"> "MA" &amp; LEFT(B44,3) &amp; TEXT(COUNTIF($B$2:B44,B44),"000")</f>
        <v>MAEMP014</v>
      </c>
      <c r="B44" s="7" t="s">
        <v>84</v>
      </c>
      <c r="C44" s="7" t="s">
        <v>65</v>
      </c>
      <c r="D44" s="7" t="s">
        <v>113</v>
      </c>
      <c r="E44" s="7" t="s">
        <v>114</v>
      </c>
      <c r="F44" s="7"/>
      <c r="G44" s="7"/>
      <c r="H44" s="7" t="s">
        <v>88</v>
      </c>
      <c r="I44" s="7"/>
    </row>
    <row r="45" spans="1:9" ht="36">
      <c r="A45" s="7" t="str">
        <f xml:space="preserve"> "MA" &amp; LEFT(B45,3) &amp; TEXT(COUNTIF($B$2:B45,B45),"000")</f>
        <v>MAEMP015</v>
      </c>
      <c r="B45" s="7" t="s">
        <v>84</v>
      </c>
      <c r="C45" s="7" t="s">
        <v>65</v>
      </c>
      <c r="D45" s="7" t="s">
        <v>115</v>
      </c>
      <c r="E45" s="7" t="s">
        <v>116</v>
      </c>
      <c r="F45" s="7"/>
      <c r="G45" s="7"/>
      <c r="H45" s="7" t="s">
        <v>88</v>
      </c>
      <c r="I45" s="7"/>
    </row>
    <row r="46" spans="1:9" ht="22.5" customHeight="1">
      <c r="A46" s="7" t="str">
        <f xml:space="preserve"> "MA" &amp; LEFT(B46,3) &amp; TEXT(COUNTIF($B$2:B46,B46),"000")</f>
        <v>MAEMP016</v>
      </c>
      <c r="B46" s="7" t="s">
        <v>84</v>
      </c>
      <c r="C46" s="7" t="s">
        <v>9</v>
      </c>
      <c r="D46" s="7" t="s">
        <v>117</v>
      </c>
      <c r="E46" s="7" t="s">
        <v>118</v>
      </c>
      <c r="F46" s="7"/>
      <c r="G46" s="7"/>
      <c r="H46" s="7" t="s">
        <v>88</v>
      </c>
      <c r="I46" s="7"/>
    </row>
    <row r="47" spans="1:9" ht="17.25">
      <c r="A47" s="7" t="str">
        <f xml:space="preserve"> "MA" &amp; LEFT(B47,3) &amp; TEXT(COUNTIF($B$2:B47,B47),"000")</f>
        <v>MAEMP017</v>
      </c>
      <c r="B47" s="7" t="s">
        <v>84</v>
      </c>
      <c r="C47" s="7" t="s">
        <v>9</v>
      </c>
      <c r="D47" s="7" t="s">
        <v>119</v>
      </c>
      <c r="E47" s="7" t="s">
        <v>120</v>
      </c>
      <c r="F47" s="7"/>
      <c r="G47" s="7"/>
      <c r="H47" s="7" t="s">
        <v>88</v>
      </c>
      <c r="I47" s="7"/>
    </row>
    <row r="48" spans="1:9" ht="36">
      <c r="A48" s="7" t="str">
        <f xml:space="preserve"> "MA" &amp; LEFT(B48,3) &amp; TEXT(COUNTIF($B$2:B48,B48),"000")</f>
        <v>MAEMP018</v>
      </c>
      <c r="B48" s="7" t="s">
        <v>84</v>
      </c>
      <c r="C48" s="7" t="s">
        <v>20</v>
      </c>
      <c r="D48" s="7" t="s">
        <v>121</v>
      </c>
      <c r="E48" s="7" t="s">
        <v>122</v>
      </c>
      <c r="F48" s="7"/>
      <c r="G48" s="7"/>
      <c r="H48" s="7" t="s">
        <v>88</v>
      </c>
      <c r="I48" s="7"/>
    </row>
    <row r="49" spans="1:9" ht="17.25">
      <c r="A49" s="7" t="str">
        <f xml:space="preserve"> "MA" &amp; LEFT(B49,3) &amp; TEXT(COUNTIF($B$2:B49,B49),"000")</f>
        <v>MAEMP019</v>
      </c>
      <c r="B49" s="7" t="s">
        <v>84</v>
      </c>
      <c r="C49" s="7" t="s">
        <v>65</v>
      </c>
      <c r="D49" s="7" t="s">
        <v>123</v>
      </c>
      <c r="E49" s="7" t="s">
        <v>124</v>
      </c>
      <c r="F49" s="7"/>
      <c r="G49" s="7"/>
      <c r="H49" s="7" t="s">
        <v>88</v>
      </c>
      <c r="I49" s="7"/>
    </row>
    <row r="50" spans="1:9" ht="17.25">
      <c r="A50" s="7" t="str">
        <f xml:space="preserve"> "MA" &amp; LEFT(B50,3) &amp; TEXT(COUNTIF($B$2:B50,B50),"000")</f>
        <v>MAEMP020</v>
      </c>
      <c r="B50" s="7" t="s">
        <v>84</v>
      </c>
      <c r="C50" s="7" t="s">
        <v>65</v>
      </c>
      <c r="D50" s="7" t="s">
        <v>125</v>
      </c>
      <c r="E50" s="7" t="s">
        <v>126</v>
      </c>
      <c r="F50" s="7"/>
      <c r="G50" s="7"/>
      <c r="H50" s="7" t="s">
        <v>127</v>
      </c>
      <c r="I50" s="7"/>
    </row>
    <row r="51" spans="1:9" ht="36">
      <c r="A51" s="7" t="str">
        <f xml:space="preserve"> "MA" &amp; LEFT(B51,3) &amp; TEXT(COUNTIF($B$2:B51,B51),"000")</f>
        <v>MAEMP021</v>
      </c>
      <c r="B51" s="7" t="s">
        <v>84</v>
      </c>
      <c r="C51" s="7" t="s">
        <v>20</v>
      </c>
      <c r="D51" s="7" t="s">
        <v>128</v>
      </c>
      <c r="E51" s="7" t="s">
        <v>129</v>
      </c>
      <c r="F51" s="7"/>
      <c r="G51" s="7"/>
      <c r="H51" s="7" t="s">
        <v>43</v>
      </c>
      <c r="I51" s="7"/>
    </row>
    <row r="52" spans="1:9" ht="36">
      <c r="A52" s="7" t="str">
        <f xml:space="preserve"> "MA" &amp; LEFT(B52,3) &amp; TEXT(COUNTIF($B$2:B52,B52),"000")</f>
        <v>MAGEO001</v>
      </c>
      <c r="B52" s="7" t="s">
        <v>130</v>
      </c>
      <c r="C52" s="7" t="s">
        <v>9</v>
      </c>
      <c r="D52" s="7" t="s">
        <v>131</v>
      </c>
      <c r="E52" s="7" t="s">
        <v>132</v>
      </c>
      <c r="F52" s="7" t="s">
        <v>133</v>
      </c>
      <c r="G52" s="7"/>
      <c r="H52" s="7" t="s">
        <v>12</v>
      </c>
      <c r="I52" s="7"/>
    </row>
    <row r="53" spans="1:9" ht="36">
      <c r="A53" s="7" t="str">
        <f xml:space="preserve"> "MA" &amp; LEFT(B53,3) &amp; TEXT(COUNTIF($B$2:B53,B53),"000")</f>
        <v>MAGEO002</v>
      </c>
      <c r="B53" s="7" t="s">
        <v>130</v>
      </c>
      <c r="C53" s="7" t="s">
        <v>20</v>
      </c>
      <c r="D53" s="7" t="s">
        <v>134</v>
      </c>
      <c r="E53" s="7" t="s">
        <v>135</v>
      </c>
      <c r="F53" s="7"/>
      <c r="G53" s="7"/>
      <c r="H53" s="7" t="s">
        <v>23</v>
      </c>
      <c r="I53" s="7"/>
    </row>
    <row r="54" spans="1:9" ht="36">
      <c r="A54" s="7" t="str">
        <f xml:space="preserve"> "MA" &amp; LEFT(B54,3) &amp; TEXT(COUNTIF($B$2:B54,B54),"000")</f>
        <v>MAGEO003</v>
      </c>
      <c r="B54" s="7" t="s">
        <v>130</v>
      </c>
      <c r="C54" s="7" t="s">
        <v>20</v>
      </c>
      <c r="D54" s="7" t="s">
        <v>136</v>
      </c>
      <c r="E54" s="7" t="s">
        <v>137</v>
      </c>
      <c r="F54" s="7"/>
      <c r="G54" s="7"/>
      <c r="H54" s="7" t="s">
        <v>23</v>
      </c>
      <c r="I54" s="7"/>
    </row>
    <row r="55" spans="1:9" ht="36">
      <c r="A55" s="7" t="str">
        <f xml:space="preserve"> "MA" &amp; LEFT(B55,3) &amp; TEXT(COUNTIF($B$2:B55,B55),"000")</f>
        <v>MAGEO004</v>
      </c>
      <c r="B55" s="7" t="s">
        <v>130</v>
      </c>
      <c r="C55" s="7" t="s">
        <v>20</v>
      </c>
      <c r="D55" s="7" t="s">
        <v>138</v>
      </c>
      <c r="E55" s="7" t="s">
        <v>139</v>
      </c>
      <c r="F55" s="7"/>
      <c r="G55" s="7"/>
      <c r="H55" s="7" t="s">
        <v>23</v>
      </c>
      <c r="I55" s="7"/>
    </row>
    <row r="56" spans="1:9" ht="30.75" customHeight="1">
      <c r="A56" s="7" t="str">
        <f xml:space="preserve"> "MA" &amp; LEFT(B56,3) &amp; TEXT(COUNTIF($B$2:B56,B56),"000")</f>
        <v>MAGEO005</v>
      </c>
      <c r="B56" s="7" t="s">
        <v>130</v>
      </c>
      <c r="C56" s="7" t="s">
        <v>20</v>
      </c>
      <c r="D56" s="7" t="s">
        <v>140</v>
      </c>
      <c r="E56" s="7" t="s">
        <v>141</v>
      </c>
      <c r="F56" s="7"/>
      <c r="G56" s="7"/>
      <c r="H56" s="7" t="s">
        <v>23</v>
      </c>
      <c r="I56" s="7"/>
    </row>
    <row r="57" spans="1:9" ht="17.25">
      <c r="A57" s="7" t="str">
        <f xml:space="preserve"> "MA" &amp; LEFT(B57,3) &amp; TEXT(COUNTIF($B$2:B57,B57),"000")</f>
        <v>MAGEO006</v>
      </c>
      <c r="B57" s="7" t="s">
        <v>130</v>
      </c>
      <c r="C57" s="7" t="s">
        <v>20</v>
      </c>
      <c r="D57" s="7" t="s">
        <v>142</v>
      </c>
      <c r="E57" s="7" t="s">
        <v>143</v>
      </c>
      <c r="F57" s="7"/>
      <c r="G57" s="7"/>
      <c r="H57" s="7" t="s">
        <v>28</v>
      </c>
      <c r="I57" s="7"/>
    </row>
    <row r="58" spans="1:9" ht="17.25">
      <c r="A58" s="7" t="str">
        <f xml:space="preserve"> "MA" &amp; LEFT(B58,3) &amp; TEXT(COUNTIF($B$2:B58,B58),"000")</f>
        <v>MAGEO007</v>
      </c>
      <c r="B58" s="7" t="s">
        <v>130</v>
      </c>
      <c r="C58" s="7" t="s">
        <v>20</v>
      </c>
      <c r="D58" s="7" t="s">
        <v>144</v>
      </c>
      <c r="E58" s="7" t="s">
        <v>145</v>
      </c>
      <c r="F58" s="7"/>
      <c r="G58" s="7"/>
      <c r="H58" s="7" t="s">
        <v>28</v>
      </c>
      <c r="I58" s="7"/>
    </row>
    <row r="59" spans="1:9" ht="17.25">
      <c r="A59" s="7" t="str">
        <f xml:space="preserve"> "MA" &amp; LEFT(B59,3) &amp; TEXT(COUNTIF($B$2:B59,B59),"000")</f>
        <v>MAGEO008</v>
      </c>
      <c r="B59" s="7" t="s">
        <v>130</v>
      </c>
      <c r="C59" s="7" t="s">
        <v>20</v>
      </c>
      <c r="D59" s="7" t="s">
        <v>146</v>
      </c>
      <c r="E59" s="7" t="s">
        <v>147</v>
      </c>
      <c r="F59" s="7"/>
      <c r="G59" s="7"/>
      <c r="H59" s="7" t="s">
        <v>28</v>
      </c>
      <c r="I59" s="7"/>
    </row>
    <row r="60" spans="1:9" ht="17.25">
      <c r="A60" s="7" t="str">
        <f xml:space="preserve"> "MA" &amp; LEFT(B60,3) &amp; TEXT(COUNTIF($B$2:B60,B60),"000")</f>
        <v>MAGEO009</v>
      </c>
      <c r="B60" s="7" t="s">
        <v>130</v>
      </c>
      <c r="C60" s="7" t="s">
        <v>20</v>
      </c>
      <c r="D60" s="7" t="s">
        <v>148</v>
      </c>
      <c r="E60" s="7" t="s">
        <v>149</v>
      </c>
      <c r="F60" s="7"/>
      <c r="G60" s="7"/>
      <c r="H60" s="7" t="s">
        <v>43</v>
      </c>
      <c r="I60" s="7"/>
    </row>
    <row r="61" spans="1:9" ht="17.25">
      <c r="A61" s="7" t="str">
        <f xml:space="preserve"> "MA" &amp; LEFT(B61,3) &amp; TEXT(COUNTIF($B$2:B61,B61),"000")</f>
        <v>MAGEO010</v>
      </c>
      <c r="B61" s="7" t="s">
        <v>130</v>
      </c>
      <c r="C61" s="7" t="s">
        <v>20</v>
      </c>
      <c r="D61" s="7" t="s">
        <v>150</v>
      </c>
      <c r="E61" s="7" t="s">
        <v>151</v>
      </c>
      <c r="F61" s="7"/>
      <c r="G61" s="7"/>
      <c r="H61" s="7" t="s">
        <v>43</v>
      </c>
      <c r="I61" s="7"/>
    </row>
    <row r="62" spans="1:9" ht="17.25">
      <c r="A62" s="7" t="str">
        <f xml:space="preserve"> "MA" &amp; LEFT(B62,3) &amp; TEXT(COUNTIF($B$2:B62,B62),"000")</f>
        <v>MAGEO011</v>
      </c>
      <c r="B62" s="7" t="s">
        <v>130</v>
      </c>
      <c r="C62" s="7" t="s">
        <v>20</v>
      </c>
      <c r="D62" s="7" t="s">
        <v>152</v>
      </c>
      <c r="E62" s="7" t="s">
        <v>153</v>
      </c>
      <c r="F62" s="7"/>
      <c r="G62" s="7"/>
      <c r="H62" s="7" t="s">
        <v>43</v>
      </c>
      <c r="I62" s="7"/>
    </row>
    <row r="63" spans="1:9" ht="17.25">
      <c r="A63" s="7" t="str">
        <f xml:space="preserve"> "MA" &amp; LEFT(B63,3) &amp; TEXT(COUNTIF($B$2:B63,B63),"000")</f>
        <v>MAGEO012</v>
      </c>
      <c r="B63" s="7" t="s">
        <v>130</v>
      </c>
      <c r="C63" s="7" t="s">
        <v>20</v>
      </c>
      <c r="D63" s="7" t="s">
        <v>154</v>
      </c>
      <c r="E63" s="7" t="s">
        <v>155</v>
      </c>
      <c r="F63" s="7"/>
      <c r="G63" s="7"/>
      <c r="H63" s="7" t="s">
        <v>16</v>
      </c>
      <c r="I63" s="7"/>
    </row>
    <row r="64" spans="1:9" ht="17.25">
      <c r="A64" s="7" t="str">
        <f xml:space="preserve"> "MA" &amp; LEFT(B64,3) &amp; TEXT(COUNTIF($B$2:B64,B64),"000")</f>
        <v>MAGEO013</v>
      </c>
      <c r="B64" s="7" t="s">
        <v>130</v>
      </c>
      <c r="C64" s="7" t="s">
        <v>20</v>
      </c>
      <c r="D64" s="7" t="s">
        <v>156</v>
      </c>
      <c r="E64" s="7" t="s">
        <v>157</v>
      </c>
      <c r="F64" s="7"/>
      <c r="G64" s="7"/>
      <c r="H64" s="7" t="s">
        <v>16</v>
      </c>
      <c r="I64" s="7"/>
    </row>
    <row r="65" spans="1:9" ht="36">
      <c r="A65" s="7" t="str">
        <f xml:space="preserve"> "MA" &amp; LEFT(B65,3) &amp; TEXT(COUNTIF($B$2:B65,B65),"000")</f>
        <v>MAGES001</v>
      </c>
      <c r="B65" s="7" t="s">
        <v>158</v>
      </c>
      <c r="C65" s="7" t="s">
        <v>9</v>
      </c>
      <c r="D65" s="7" t="s">
        <v>159</v>
      </c>
      <c r="E65" s="7" t="s">
        <v>160</v>
      </c>
      <c r="F65" s="7"/>
      <c r="G65" s="7"/>
      <c r="H65" s="7" t="s">
        <v>43</v>
      </c>
      <c r="I65" s="7"/>
    </row>
    <row r="66" spans="1:9" ht="36">
      <c r="A66" s="7" t="str">
        <f xml:space="preserve"> "MA" &amp; LEFT(B66,3) &amp; TEXT(COUNTIF($B$2:B66,B66),"000")</f>
        <v>MAGES002</v>
      </c>
      <c r="B66" s="7" t="s">
        <v>158</v>
      </c>
      <c r="C66" s="7" t="s">
        <v>65</v>
      </c>
      <c r="D66" s="7" t="s">
        <v>161</v>
      </c>
      <c r="E66" s="7" t="s">
        <v>162</v>
      </c>
      <c r="F66" s="7"/>
      <c r="G66" s="7"/>
      <c r="H66" s="7" t="s">
        <v>43</v>
      </c>
      <c r="I66" s="7"/>
    </row>
    <row r="67" spans="1:9" ht="36">
      <c r="A67" s="7" t="str">
        <f xml:space="preserve"> "MA" &amp; LEFT(B67,3) &amp; TEXT(COUNTIF($B$2:B67,B67),"000")</f>
        <v>MAGES003</v>
      </c>
      <c r="B67" s="7" t="s">
        <v>158</v>
      </c>
      <c r="C67" s="7" t="s">
        <v>9</v>
      </c>
      <c r="D67" s="7" t="s">
        <v>163</v>
      </c>
      <c r="E67" s="7" t="s">
        <v>164</v>
      </c>
      <c r="F67" s="7"/>
      <c r="G67" s="7"/>
      <c r="H67" s="7" t="s">
        <v>43</v>
      </c>
      <c r="I67" s="7"/>
    </row>
    <row r="68" spans="1:9" ht="17.25">
      <c r="A68" s="7" t="str">
        <f xml:space="preserve"> "MA" &amp; LEFT(B68,3) &amp; TEXT(COUNTIF($B$2:B68,B68),"000")</f>
        <v>MAGES004</v>
      </c>
      <c r="B68" s="7" t="s">
        <v>158</v>
      </c>
      <c r="C68" s="7" t="s">
        <v>9</v>
      </c>
      <c r="D68" s="7" t="s">
        <v>165</v>
      </c>
      <c r="E68" s="7" t="s">
        <v>166</v>
      </c>
      <c r="F68" s="7"/>
      <c r="G68" s="7"/>
      <c r="H68" s="7" t="s">
        <v>43</v>
      </c>
      <c r="I68" s="7"/>
    </row>
    <row r="69" spans="1:9" ht="17.25">
      <c r="A69" s="7" t="str">
        <f xml:space="preserve"> "MA" &amp; LEFT(B69,3) &amp; TEXT(COUNTIF($B$2:B69,B69),"000")</f>
        <v>MAGES005</v>
      </c>
      <c r="B69" s="7" t="s">
        <v>158</v>
      </c>
      <c r="C69" s="7" t="s">
        <v>9</v>
      </c>
      <c r="D69" s="7" t="s">
        <v>167</v>
      </c>
      <c r="E69" s="7" t="s">
        <v>168</v>
      </c>
      <c r="F69" s="7"/>
      <c r="G69" s="7"/>
      <c r="H69" s="7" t="s">
        <v>43</v>
      </c>
      <c r="I69" s="7"/>
    </row>
    <row r="70" spans="1:9" ht="36">
      <c r="A70" s="7" t="str">
        <f xml:space="preserve"> "MA" &amp; LEFT(B70,3) &amp; TEXT(COUNTIF($B$2:B70,B70),"000")</f>
        <v>MAGES006</v>
      </c>
      <c r="B70" s="7" t="s">
        <v>158</v>
      </c>
      <c r="C70" s="7" t="s">
        <v>9</v>
      </c>
      <c r="D70" s="7" t="s">
        <v>169</v>
      </c>
      <c r="E70" s="7" t="s">
        <v>170</v>
      </c>
      <c r="F70" s="7"/>
      <c r="G70" s="7"/>
      <c r="H70" s="7" t="s">
        <v>43</v>
      </c>
      <c r="I70" s="7"/>
    </row>
    <row r="71" spans="1:9" ht="36">
      <c r="A71" s="7" t="str">
        <f xml:space="preserve"> "MA" &amp; LEFT(B71,3) &amp; TEXT(COUNTIF($B$2:B71,B71),"000")</f>
        <v>MANEG001</v>
      </c>
      <c r="B71" s="7" t="s">
        <v>171</v>
      </c>
      <c r="C71" s="7" t="s">
        <v>20</v>
      </c>
      <c r="D71" s="7" t="s">
        <v>172</v>
      </c>
      <c r="E71" s="7" t="s">
        <v>173</v>
      </c>
      <c r="F71" s="7"/>
      <c r="G71" s="7"/>
      <c r="H71" s="7" t="s">
        <v>43</v>
      </c>
      <c r="I71" s="7"/>
    </row>
    <row r="72" spans="1:9" ht="36">
      <c r="A72" s="7" t="str">
        <f xml:space="preserve"> "MA" &amp; LEFT(B72,3) &amp; TEXT(COUNTIF($B$2:B72,B72),"000")</f>
        <v>MANEG002</v>
      </c>
      <c r="B72" s="7" t="s">
        <v>171</v>
      </c>
      <c r="C72" s="7" t="s">
        <v>20</v>
      </c>
      <c r="D72" s="7" t="s">
        <v>174</v>
      </c>
      <c r="E72" s="7" t="s">
        <v>175</v>
      </c>
      <c r="F72" s="7"/>
      <c r="G72" s="7"/>
      <c r="H72" s="7" t="s">
        <v>88</v>
      </c>
      <c r="I72" s="7"/>
    </row>
    <row r="73" spans="1:9" ht="36">
      <c r="A73" s="7" t="str">
        <f xml:space="preserve"> "MA" &amp; LEFT(B73,3) &amp; TEXT(COUNTIF($B$2:B73,B73),"000")</f>
        <v>MANEG003</v>
      </c>
      <c r="B73" s="7" t="s">
        <v>171</v>
      </c>
      <c r="C73" s="7" t="s">
        <v>20</v>
      </c>
      <c r="D73" s="7" t="s">
        <v>176</v>
      </c>
      <c r="E73" s="7" t="s">
        <v>177</v>
      </c>
      <c r="F73" s="7"/>
      <c r="G73" s="7"/>
      <c r="H73" s="7" t="s">
        <v>23</v>
      </c>
      <c r="I73" s="7"/>
    </row>
    <row r="74" spans="1:9" ht="23.25" customHeight="1">
      <c r="A74" s="7" t="str">
        <f xml:space="preserve"> "MA" &amp; LEFT(B74,3) &amp; TEXT(COUNTIF($B$2:B74,B74),"000")</f>
        <v>MANEG004</v>
      </c>
      <c r="B74" s="7" t="s">
        <v>171</v>
      </c>
      <c r="C74" s="7" t="s">
        <v>20</v>
      </c>
      <c r="D74" s="7" t="s">
        <v>178</v>
      </c>
      <c r="E74" s="7" t="s">
        <v>179</v>
      </c>
      <c r="F74" s="7"/>
      <c r="G74" s="7"/>
      <c r="H74" s="7" t="s">
        <v>28</v>
      </c>
      <c r="I74" s="7"/>
    </row>
    <row r="75" spans="1:9" ht="36">
      <c r="A75" s="7" t="str">
        <f xml:space="preserve"> "MA" &amp; LEFT(B75,3) &amp; TEXT(COUNTIF($B$2:B75,B75),"000")</f>
        <v>MANEG005</v>
      </c>
      <c r="B75" s="7" t="s">
        <v>171</v>
      </c>
      <c r="C75" s="7" t="s">
        <v>20</v>
      </c>
      <c r="D75" s="7" t="s">
        <v>180</v>
      </c>
      <c r="E75" s="7" t="s">
        <v>181</v>
      </c>
      <c r="F75" s="7"/>
      <c r="G75" s="7"/>
      <c r="H75" s="7" t="s">
        <v>23</v>
      </c>
      <c r="I75" s="7"/>
    </row>
    <row r="76" spans="1:9" ht="36">
      <c r="A76" s="7" t="str">
        <f xml:space="preserve"> "MA" &amp; LEFT(B76,3) &amp; TEXT(COUNTIF($B$2:B76,B76),"000")</f>
        <v>MANEG006</v>
      </c>
      <c r="B76" s="7" t="s">
        <v>171</v>
      </c>
      <c r="C76" s="7" t="s">
        <v>20</v>
      </c>
      <c r="D76" s="7" t="s">
        <v>182</v>
      </c>
      <c r="E76" s="7" t="s">
        <v>183</v>
      </c>
      <c r="F76" s="7"/>
      <c r="G76" s="7"/>
      <c r="H76" s="7" t="s">
        <v>23</v>
      </c>
      <c r="I76" s="7"/>
    </row>
    <row r="77" spans="1:9" ht="36">
      <c r="A77" s="7" t="str">
        <f xml:space="preserve"> "MA" &amp; LEFT(B77,3) &amp; TEXT(COUNTIF($B$2:B77,B77),"000")</f>
        <v>MANEG007</v>
      </c>
      <c r="B77" s="7" t="s">
        <v>171</v>
      </c>
      <c r="C77" s="7" t="s">
        <v>20</v>
      </c>
      <c r="D77" s="7" t="s">
        <v>184</v>
      </c>
      <c r="E77" s="7" t="s">
        <v>185</v>
      </c>
      <c r="F77" s="7"/>
      <c r="G77" s="7"/>
      <c r="H77" s="7" t="s">
        <v>12</v>
      </c>
      <c r="I77" s="7"/>
    </row>
    <row r="78" spans="1:9" ht="36">
      <c r="A78" s="7" t="str">
        <f xml:space="preserve"> "MA" &amp; LEFT(B78,3) &amp; TEXT(COUNTIF($B$2:B78,B78),"000")</f>
        <v>MANEG008</v>
      </c>
      <c r="B78" s="7" t="s">
        <v>171</v>
      </c>
      <c r="C78" s="7" t="s">
        <v>9</v>
      </c>
      <c r="D78" s="7" t="s">
        <v>186</v>
      </c>
      <c r="E78" s="7" t="s">
        <v>187</v>
      </c>
      <c r="F78" s="7"/>
      <c r="G78" s="7"/>
      <c r="H78" s="7" t="s">
        <v>16</v>
      </c>
      <c r="I78" s="7"/>
    </row>
    <row r="79" spans="1:9" ht="36">
      <c r="A79" s="7" t="str">
        <f xml:space="preserve"> "MA" &amp; LEFT(B79,3) &amp; TEXT(COUNTIF($B$2:B79,B79),"000")</f>
        <v>MANEG009</v>
      </c>
      <c r="B79" s="7" t="s">
        <v>171</v>
      </c>
      <c r="C79" s="7" t="s">
        <v>9</v>
      </c>
      <c r="D79" s="7" t="s">
        <v>188</v>
      </c>
      <c r="E79" s="7" t="s">
        <v>189</v>
      </c>
      <c r="F79" s="7"/>
      <c r="G79" s="7"/>
      <c r="H79" s="7" t="s">
        <v>16</v>
      </c>
      <c r="I79" s="7"/>
    </row>
    <row r="80" spans="1:9" ht="36">
      <c r="A80" s="7" t="str">
        <f xml:space="preserve"> "MA" &amp; LEFT(B80,3) &amp; TEXT(COUNTIF($B$2:B80,B80),"000")</f>
        <v>MAOTR001</v>
      </c>
      <c r="B80" s="7" t="s">
        <v>190</v>
      </c>
      <c r="C80" s="7" t="s">
        <v>13</v>
      </c>
      <c r="D80" s="7" t="s">
        <v>191</v>
      </c>
      <c r="E80" s="7" t="s">
        <v>192</v>
      </c>
      <c r="F80" s="7"/>
      <c r="G80" s="7" t="s">
        <v>80</v>
      </c>
      <c r="H80" s="7" t="s">
        <v>23</v>
      </c>
      <c r="I80" s="7"/>
    </row>
    <row r="81" spans="1:9" ht="38.25" customHeight="1">
      <c r="A81" s="7" t="str">
        <f xml:space="preserve"> "MA" &amp; LEFT(B81,3) &amp; TEXT(COUNTIF($B$2:B81,B81),"000")</f>
        <v>MAPRO001</v>
      </c>
      <c r="B81" s="7" t="s">
        <v>193</v>
      </c>
      <c r="C81" s="7" t="s">
        <v>9</v>
      </c>
      <c r="D81" s="7" t="s">
        <v>194</v>
      </c>
      <c r="E81" s="7" t="s">
        <v>195</v>
      </c>
      <c r="F81" s="7"/>
      <c r="G81" s="7"/>
      <c r="H81" s="7" t="s">
        <v>88</v>
      </c>
      <c r="I81" s="7"/>
    </row>
    <row r="82" spans="1:9" ht="17.25">
      <c r="A82" s="7" t="str">
        <f xml:space="preserve"> "MA" &amp; LEFT(B82,3) &amp; TEXT(COUNTIF($B$2:B82,B82),"000")</f>
        <v>MAPRO002</v>
      </c>
      <c r="B82" s="7" t="s">
        <v>193</v>
      </c>
      <c r="C82" s="7" t="s">
        <v>9</v>
      </c>
      <c r="D82" s="7" t="s">
        <v>196</v>
      </c>
      <c r="E82" s="7" t="s">
        <v>197</v>
      </c>
      <c r="F82" s="7"/>
      <c r="G82" s="7"/>
      <c r="H82" s="7" t="s">
        <v>88</v>
      </c>
      <c r="I82" s="7"/>
    </row>
    <row r="83" spans="1:9" ht="17.25">
      <c r="A83" s="7" t="str">
        <f xml:space="preserve"> "MA" &amp; LEFT(B83,3) &amp; TEXT(COUNTIF($B$2:B83,B83),"000")</f>
        <v>MAPRO003</v>
      </c>
      <c r="B83" s="7" t="s">
        <v>193</v>
      </c>
      <c r="C83" s="7" t="s">
        <v>65</v>
      </c>
      <c r="D83" s="7" t="s">
        <v>198</v>
      </c>
      <c r="E83" s="7" t="s">
        <v>199</v>
      </c>
      <c r="F83" s="7"/>
      <c r="G83" s="7"/>
      <c r="H83" s="7" t="s">
        <v>88</v>
      </c>
      <c r="I83" s="7"/>
    </row>
    <row r="84" spans="1:9" ht="36.75" customHeight="1">
      <c r="A84" s="7" t="str">
        <f xml:space="preserve"> "MA" &amp; LEFT(B84,3) &amp; TEXT(COUNTIF($B$2:B84,B84),"000")</f>
        <v>MAPRO004</v>
      </c>
      <c r="B84" s="7" t="s">
        <v>193</v>
      </c>
      <c r="C84" s="7" t="s">
        <v>9</v>
      </c>
      <c r="D84" s="7" t="s">
        <v>200</v>
      </c>
      <c r="E84" s="7" t="s">
        <v>201</v>
      </c>
      <c r="F84" s="7"/>
      <c r="G84" s="7"/>
      <c r="H84" s="7" t="s">
        <v>88</v>
      </c>
      <c r="I84" s="7"/>
    </row>
    <row r="85" spans="1:9" ht="17.25">
      <c r="A85" s="7" t="str">
        <f xml:space="preserve"> "MA" &amp; LEFT(B85,3) &amp; TEXT(COUNTIF($B$2:B85,B85),"000")</f>
        <v>MAPRO005</v>
      </c>
      <c r="B85" s="7" t="s">
        <v>193</v>
      </c>
      <c r="C85" s="7" t="s">
        <v>9</v>
      </c>
      <c r="D85" s="7" t="s">
        <v>202</v>
      </c>
      <c r="E85" s="7" t="s">
        <v>203</v>
      </c>
      <c r="F85" s="7"/>
      <c r="G85" s="7"/>
      <c r="H85" s="7" t="s">
        <v>88</v>
      </c>
      <c r="I85" s="7"/>
    </row>
    <row r="86" spans="1:9" ht="17.25">
      <c r="A86" s="7" t="str">
        <f xml:space="preserve"> "MA" &amp; LEFT(B86,3) &amp; TEXT(COUNTIF($B$2:B86,B86),"000")</f>
        <v>MAPRO006</v>
      </c>
      <c r="B86" s="7" t="s">
        <v>193</v>
      </c>
      <c r="C86" s="7" t="s">
        <v>65</v>
      </c>
      <c r="D86" s="7" t="s">
        <v>204</v>
      </c>
      <c r="E86" s="7" t="s">
        <v>205</v>
      </c>
      <c r="F86" s="7"/>
      <c r="G86" s="7"/>
      <c r="H86" s="7" t="s">
        <v>88</v>
      </c>
      <c r="I86" s="7"/>
    </row>
    <row r="87" spans="1:9" ht="17.25">
      <c r="A87" s="7" t="str">
        <f xml:space="preserve"> "MA" &amp; LEFT(B87,3) &amp; TEXT(COUNTIF($B$2:B87,B87),"000")</f>
        <v>MAPRO007</v>
      </c>
      <c r="B87" s="7" t="s">
        <v>193</v>
      </c>
      <c r="C87" s="7" t="s">
        <v>9</v>
      </c>
      <c r="D87" s="7" t="s">
        <v>206</v>
      </c>
      <c r="E87" s="7" t="s">
        <v>207</v>
      </c>
      <c r="F87" s="7"/>
      <c r="G87" s="7"/>
      <c r="H87" s="7" t="s">
        <v>88</v>
      </c>
      <c r="I87" s="7"/>
    </row>
    <row r="88" spans="1:9" ht="17.25">
      <c r="A88" s="7" t="str">
        <f xml:space="preserve"> "MA" &amp; LEFT(B88,3) &amp; TEXT(COUNTIF($B$2:B88,B88),"000")</f>
        <v>MAPRO008</v>
      </c>
      <c r="B88" s="7" t="s">
        <v>193</v>
      </c>
      <c r="C88" s="7" t="s">
        <v>9</v>
      </c>
      <c r="D88" s="7" t="s">
        <v>208</v>
      </c>
      <c r="E88" s="7" t="s">
        <v>209</v>
      </c>
      <c r="F88" s="7"/>
      <c r="G88" s="7"/>
      <c r="H88" s="7" t="s">
        <v>88</v>
      </c>
      <c r="I88" s="7"/>
    </row>
    <row r="89" spans="1:9" ht="17.25">
      <c r="A89" s="7" t="str">
        <f xml:space="preserve"> "MA" &amp; LEFT(B89,3) &amp; TEXT(COUNTIF($B$2:B89,B89),"000")</f>
        <v>MAPRO009</v>
      </c>
      <c r="B89" s="7" t="s">
        <v>193</v>
      </c>
      <c r="C89" s="7" t="s">
        <v>9</v>
      </c>
      <c r="D89" s="7" t="s">
        <v>210</v>
      </c>
      <c r="E89" s="7" t="s">
        <v>211</v>
      </c>
      <c r="F89" s="7"/>
      <c r="G89" s="7"/>
      <c r="H89" s="7" t="s">
        <v>28</v>
      </c>
      <c r="I89" s="7"/>
    </row>
    <row r="90" spans="1:9" ht="17.25">
      <c r="A90" s="7" t="str">
        <f xml:space="preserve"> "MA" &amp; LEFT(B90,3) &amp; TEXT(COUNTIF($B$2:B90,B90),"000")</f>
        <v>MAPRO010</v>
      </c>
      <c r="B90" s="7" t="s">
        <v>193</v>
      </c>
      <c r="C90" s="7" t="s">
        <v>9</v>
      </c>
      <c r="D90" s="7" t="s">
        <v>212</v>
      </c>
      <c r="E90" s="7" t="s">
        <v>213</v>
      </c>
      <c r="F90" s="7"/>
      <c r="G90" s="7"/>
      <c r="H90" s="7" t="s">
        <v>28</v>
      </c>
      <c r="I90" s="7"/>
    </row>
    <row r="91" spans="1:9" ht="17.25">
      <c r="A91" s="7" t="str">
        <f xml:space="preserve"> "MA" &amp; LEFT(B91,3) &amp; TEXT(COUNTIF($B$2:B91,B91),"000")</f>
        <v>MAPRO011</v>
      </c>
      <c r="B91" s="7" t="s">
        <v>193</v>
      </c>
      <c r="C91" s="7" t="s">
        <v>20</v>
      </c>
      <c r="D91" s="7" t="s">
        <v>214</v>
      </c>
      <c r="E91" s="7" t="s">
        <v>215</v>
      </c>
      <c r="F91" s="7"/>
      <c r="G91" s="7"/>
      <c r="H91" s="7" t="s">
        <v>43</v>
      </c>
      <c r="I91" s="7"/>
    </row>
    <row r="92" spans="1:9" ht="34.5" customHeight="1">
      <c r="A92" s="7" t="str">
        <f xml:space="preserve"> "MA" &amp; LEFT(B92,3) &amp; TEXT(COUNTIF($B$2:B92,B92),"000")</f>
        <v>MAPRO012</v>
      </c>
      <c r="B92" s="7" t="s">
        <v>193</v>
      </c>
      <c r="C92" s="7" t="s">
        <v>20</v>
      </c>
      <c r="D92" s="7" t="s">
        <v>216</v>
      </c>
      <c r="E92" s="7" t="s">
        <v>217</v>
      </c>
      <c r="F92" s="7"/>
      <c r="G92" s="7"/>
      <c r="H92" s="7" t="s">
        <v>43</v>
      </c>
      <c r="I92" s="7"/>
    </row>
    <row r="93" spans="1:9" ht="36">
      <c r="A93" s="7" t="str">
        <f xml:space="preserve"> "MA" &amp; LEFT(B93,3) &amp; TEXT(COUNTIF($B$2:B93,B93),"000")</f>
        <v>MAPRO013</v>
      </c>
      <c r="B93" s="7" t="s">
        <v>193</v>
      </c>
      <c r="C93" s="7" t="s">
        <v>9</v>
      </c>
      <c r="D93" s="7" t="s">
        <v>218</v>
      </c>
      <c r="E93" s="7" t="s">
        <v>219</v>
      </c>
      <c r="F93" s="7"/>
      <c r="G93" s="7"/>
      <c r="H93" s="7" t="s">
        <v>23</v>
      </c>
      <c r="I93" s="7"/>
    </row>
    <row r="94" spans="1:9" ht="36">
      <c r="A94" s="7" t="str">
        <f xml:space="preserve"> "MA" &amp; LEFT(B94,3) &amp; TEXT(COUNTIF($B$2:B94,B94),"000")</f>
        <v>MAPRO014</v>
      </c>
      <c r="B94" s="7" t="s">
        <v>193</v>
      </c>
      <c r="C94" s="7" t="s">
        <v>9</v>
      </c>
      <c r="D94" s="7" t="s">
        <v>220</v>
      </c>
      <c r="E94" s="7" t="s">
        <v>221</v>
      </c>
      <c r="F94" s="7"/>
      <c r="G94" s="7"/>
      <c r="H94" s="7" t="s">
        <v>23</v>
      </c>
      <c r="I94" s="7"/>
    </row>
    <row r="95" spans="1:9" ht="36">
      <c r="A95" s="7" t="str">
        <f xml:space="preserve"> "MA" &amp; LEFT(B95,3) &amp; TEXT(COUNTIF($B$2:B95,B95),"000")</f>
        <v>MAPRO015</v>
      </c>
      <c r="B95" s="7" t="s">
        <v>193</v>
      </c>
      <c r="C95" s="7" t="s">
        <v>9</v>
      </c>
      <c r="D95" s="7" t="s">
        <v>222</v>
      </c>
      <c r="E95" s="7" t="s">
        <v>223</v>
      </c>
      <c r="F95" s="7"/>
      <c r="G95" s="7"/>
      <c r="H95" s="7" t="s">
        <v>23</v>
      </c>
      <c r="I95" s="7"/>
    </row>
    <row r="96" spans="1:9" ht="36">
      <c r="A96" s="7" t="str">
        <f xml:space="preserve"> "MA" &amp; LEFT(B96,3) &amp; TEXT(COUNTIF($B$2:B96,B96),"000")</f>
        <v>MAPRO016</v>
      </c>
      <c r="B96" s="7" t="s">
        <v>193</v>
      </c>
      <c r="C96" s="7" t="s">
        <v>9</v>
      </c>
      <c r="D96" s="7" t="s">
        <v>224</v>
      </c>
      <c r="E96" s="7" t="s">
        <v>225</v>
      </c>
      <c r="F96" s="7"/>
      <c r="G96" s="7"/>
      <c r="H96" s="7" t="s">
        <v>23</v>
      </c>
      <c r="I96" s="7"/>
    </row>
    <row r="97" spans="1:9" ht="36">
      <c r="A97" s="7" t="str">
        <f xml:space="preserve"> "MA" &amp; LEFT(B97,3) &amp; TEXT(COUNTIF($B$2:B97,B97),"000")</f>
        <v>MAPRO017</v>
      </c>
      <c r="B97" s="7" t="s">
        <v>193</v>
      </c>
      <c r="C97" s="7" t="s">
        <v>9</v>
      </c>
      <c r="D97" s="7" t="s">
        <v>226</v>
      </c>
      <c r="E97" s="7" t="s">
        <v>227</v>
      </c>
      <c r="F97" s="7"/>
      <c r="G97" s="7"/>
      <c r="H97" s="7" t="s">
        <v>23</v>
      </c>
      <c r="I97" s="7"/>
    </row>
    <row r="98" spans="1:9" ht="36">
      <c r="A98" s="7" t="str">
        <f xml:space="preserve"> "MA" &amp; LEFT(B98,3) &amp; TEXT(COUNTIF($B$2:B98,B98),"000")</f>
        <v>MAPRO018</v>
      </c>
      <c r="B98" s="7" t="s">
        <v>193</v>
      </c>
      <c r="C98" s="7" t="s">
        <v>9</v>
      </c>
      <c r="D98" s="7" t="s">
        <v>228</v>
      </c>
      <c r="E98" s="7" t="s">
        <v>229</v>
      </c>
      <c r="F98" s="7"/>
      <c r="G98" s="7"/>
      <c r="H98" s="7" t="s">
        <v>23</v>
      </c>
      <c r="I98" s="7"/>
    </row>
    <row r="99" spans="1:9" ht="36">
      <c r="A99" s="7" t="str">
        <f xml:space="preserve"> "MA" &amp; LEFT(B99,3) &amp; TEXT(COUNTIF($B$2:B99,B99),"000")</f>
        <v>MAPRO019</v>
      </c>
      <c r="B99" s="7" t="s">
        <v>193</v>
      </c>
      <c r="C99" s="7" t="s">
        <v>9</v>
      </c>
      <c r="D99" s="7" t="s">
        <v>230</v>
      </c>
      <c r="E99" s="7" t="s">
        <v>231</v>
      </c>
      <c r="F99" s="7"/>
      <c r="G99" s="7"/>
      <c r="H99" s="7" t="s">
        <v>28</v>
      </c>
      <c r="I99" s="7"/>
    </row>
    <row r="100" spans="1:9" ht="36">
      <c r="A100" s="7" t="str">
        <f xml:space="preserve"> "MA" &amp; LEFT(B100,3) &amp; TEXT(COUNTIF($B$2:B100,B100),"000")</f>
        <v>MAPRO020</v>
      </c>
      <c r="B100" s="7" t="s">
        <v>193</v>
      </c>
      <c r="C100" s="7" t="s">
        <v>9</v>
      </c>
      <c r="D100" s="7" t="s">
        <v>232</v>
      </c>
      <c r="E100" s="7" t="s">
        <v>233</v>
      </c>
      <c r="F100" s="7"/>
      <c r="G100" s="7"/>
      <c r="H100" s="7" t="s">
        <v>28</v>
      </c>
      <c r="I100" s="7"/>
    </row>
    <row r="101" spans="1:9" ht="36">
      <c r="A101" s="7" t="str">
        <f xml:space="preserve"> "MA" &amp; LEFT(B101,3) &amp; TEXT(COUNTIF($B$2:B101,B101),"000")</f>
        <v>MAPRO021</v>
      </c>
      <c r="B101" s="7" t="s">
        <v>193</v>
      </c>
      <c r="C101" s="7" t="s">
        <v>65</v>
      </c>
      <c r="D101" s="7" t="s">
        <v>234</v>
      </c>
      <c r="E101" s="7" t="s">
        <v>235</v>
      </c>
      <c r="F101" s="7"/>
      <c r="G101" s="7"/>
      <c r="H101" s="7"/>
      <c r="I101" s="7"/>
    </row>
    <row r="102" spans="1:9" ht="36">
      <c r="A102" s="7" t="str">
        <f xml:space="preserve"> "MA" &amp; LEFT(B102,3) &amp; TEXT(COUNTIF($B$2:B102,B102),"000")</f>
        <v>MAPRO022</v>
      </c>
      <c r="B102" s="7" t="s">
        <v>193</v>
      </c>
      <c r="C102" s="7" t="s">
        <v>236</v>
      </c>
      <c r="D102" s="7" t="s">
        <v>237</v>
      </c>
      <c r="E102" s="7" t="s">
        <v>238</v>
      </c>
      <c r="F102" s="7"/>
      <c r="G102" s="7"/>
      <c r="H102" s="7" t="s">
        <v>23</v>
      </c>
      <c r="I102" s="7"/>
    </row>
    <row r="103" spans="1:9" ht="17.25">
      <c r="A103" s="7" t="str">
        <f xml:space="preserve"> "MA" &amp; LEFT(B103,3) &amp; TEXT(COUNTIF($B$2:B103,B103),"000")</f>
        <v>MAPRO023</v>
      </c>
      <c r="B103" s="7" t="s">
        <v>193</v>
      </c>
      <c r="C103" s="7" t="s">
        <v>20</v>
      </c>
      <c r="D103" s="7" t="s">
        <v>239</v>
      </c>
      <c r="E103" s="7" t="s">
        <v>240</v>
      </c>
      <c r="F103" s="7"/>
      <c r="G103" s="7"/>
      <c r="H103" s="7" t="s">
        <v>28</v>
      </c>
      <c r="I103" s="7"/>
    </row>
    <row r="104" spans="1:9" ht="36">
      <c r="A104" s="7" t="str">
        <f xml:space="preserve"> "MA" &amp; LEFT(B104,3) &amp; TEXT(COUNTIF($B$2:B104,B104),"000")</f>
        <v>MAPRO024</v>
      </c>
      <c r="B104" s="7" t="s">
        <v>193</v>
      </c>
      <c r="C104" s="7" t="s">
        <v>65</v>
      </c>
      <c r="D104" s="7" t="s">
        <v>241</v>
      </c>
      <c r="E104" s="7" t="s">
        <v>242</v>
      </c>
      <c r="F104" s="7"/>
      <c r="G104" s="7"/>
      <c r="H104" s="7"/>
      <c r="I104" s="7"/>
    </row>
    <row r="105" spans="1:9" ht="17.25">
      <c r="A105" s="7" t="str">
        <f xml:space="preserve"> "MA" &amp; LEFT(B105,3) &amp; TEXT(COUNTIF($B$2:B105,B105),"000")</f>
        <v>MAPRO025</v>
      </c>
      <c r="B105" s="7" t="s">
        <v>193</v>
      </c>
      <c r="C105" s="7" t="s">
        <v>65</v>
      </c>
      <c r="D105" s="7" t="s">
        <v>243</v>
      </c>
      <c r="E105" s="7" t="s">
        <v>244</v>
      </c>
      <c r="F105" s="7"/>
      <c r="G105" s="7"/>
      <c r="H105" s="7"/>
      <c r="I105" s="7"/>
    </row>
    <row r="106" spans="1:9" ht="36">
      <c r="A106" s="7" t="str">
        <f xml:space="preserve"> "MA" &amp; LEFT(B106,3) &amp; TEXT(COUNTIF($B$2:B106,B106),"000")</f>
        <v>MAPRO026</v>
      </c>
      <c r="B106" s="7" t="s">
        <v>193</v>
      </c>
      <c r="C106" s="7" t="s">
        <v>65</v>
      </c>
      <c r="D106" s="7" t="s">
        <v>245</v>
      </c>
      <c r="E106" s="7" t="s">
        <v>246</v>
      </c>
      <c r="F106" s="7"/>
      <c r="G106" s="7"/>
      <c r="H106" s="7"/>
      <c r="I106" s="7"/>
    </row>
    <row r="107" spans="1:9" ht="36">
      <c r="A107" s="7" t="str">
        <f xml:space="preserve"> "MA" &amp; LEFT(B107,3) &amp; TEXT(COUNTIF($B$2:B107,B107),"000")</f>
        <v>MAPRO027</v>
      </c>
      <c r="B107" s="7" t="s">
        <v>193</v>
      </c>
      <c r="C107" s="7" t="s">
        <v>9</v>
      </c>
      <c r="D107" s="7" t="s">
        <v>247</v>
      </c>
      <c r="E107" s="7" t="s">
        <v>248</v>
      </c>
      <c r="F107" s="7"/>
      <c r="G107" s="7"/>
      <c r="H107" s="7" t="s">
        <v>23</v>
      </c>
      <c r="I107" s="7"/>
    </row>
    <row r="108" spans="1:9" ht="36">
      <c r="A108" s="7" t="str">
        <f xml:space="preserve"> "MA" &amp; LEFT(B108,3) &amp; TEXT(COUNTIF($B$2:B108,B108),"000")</f>
        <v>MAPRO028</v>
      </c>
      <c r="B108" s="7" t="s">
        <v>193</v>
      </c>
      <c r="C108" s="7" t="s">
        <v>9</v>
      </c>
      <c r="D108" s="7" t="s">
        <v>249</v>
      </c>
      <c r="E108" s="7" t="s">
        <v>250</v>
      </c>
      <c r="F108" s="7"/>
      <c r="G108" s="7"/>
      <c r="H108" s="7" t="s">
        <v>23</v>
      </c>
      <c r="I108" s="7"/>
    </row>
    <row r="109" spans="1:9" ht="36">
      <c r="A109" s="7" t="str">
        <f xml:space="preserve"> "MA" &amp; LEFT(B109,3) &amp; TEXT(COUNTIF($B$2:B109,B109),"000")</f>
        <v>MAPRO029</v>
      </c>
      <c r="B109" s="7" t="s">
        <v>193</v>
      </c>
      <c r="C109" s="7" t="s">
        <v>9</v>
      </c>
      <c r="D109" s="7" t="s">
        <v>251</v>
      </c>
      <c r="E109" s="7" t="s">
        <v>252</v>
      </c>
      <c r="F109" s="7"/>
      <c r="G109" s="7"/>
      <c r="H109" s="7" t="s">
        <v>23</v>
      </c>
      <c r="I109" s="7"/>
    </row>
    <row r="110" spans="1:9" ht="36">
      <c r="A110" s="7" t="str">
        <f xml:space="preserve"> "MA" &amp; LEFT(B110,3) &amp; TEXT(COUNTIF($B$2:B110,B110),"000")</f>
        <v>MAPRO030</v>
      </c>
      <c r="B110" s="7" t="s">
        <v>193</v>
      </c>
      <c r="C110" s="7" t="s">
        <v>9</v>
      </c>
      <c r="D110" s="7" t="s">
        <v>253</v>
      </c>
      <c r="E110" s="7" t="s">
        <v>254</v>
      </c>
      <c r="F110" s="7"/>
      <c r="G110" s="7"/>
      <c r="H110" s="7" t="s">
        <v>23</v>
      </c>
      <c r="I110" s="7"/>
    </row>
    <row r="111" spans="1:9" ht="36">
      <c r="A111" s="7" t="str">
        <f xml:space="preserve"> "MA" &amp; LEFT(B111,3) &amp; TEXT(COUNTIF($B$2:B111,B111),"000")</f>
        <v>MAPRO031</v>
      </c>
      <c r="B111" s="7" t="s">
        <v>193</v>
      </c>
      <c r="C111" s="7" t="s">
        <v>9</v>
      </c>
      <c r="D111" s="7" t="s">
        <v>255</v>
      </c>
      <c r="E111" s="7" t="s">
        <v>256</v>
      </c>
      <c r="F111" s="7"/>
      <c r="G111" s="7"/>
      <c r="H111" s="7" t="s">
        <v>23</v>
      </c>
      <c r="I111" s="7"/>
    </row>
    <row r="112" spans="1:9" ht="36">
      <c r="A112" s="7" t="str">
        <f xml:space="preserve"> "MA" &amp; LEFT(B112,3) &amp; TEXT(COUNTIF($B$2:B112,B112),"000")</f>
        <v>MAPRO032</v>
      </c>
      <c r="B112" s="7" t="s">
        <v>193</v>
      </c>
      <c r="C112" s="7" t="s">
        <v>9</v>
      </c>
      <c r="D112" s="7" t="s">
        <v>257</v>
      </c>
      <c r="E112" s="7" t="s">
        <v>258</v>
      </c>
      <c r="F112" s="7"/>
      <c r="G112" s="7"/>
      <c r="H112" s="7" t="s">
        <v>23</v>
      </c>
      <c r="I112" s="7"/>
    </row>
    <row r="113" spans="1:9" ht="33" customHeight="1">
      <c r="A113" s="7" t="str">
        <f xml:space="preserve"> "MA" &amp; LEFT(B113,3) &amp; TEXT(COUNTIF($B$2:B113,B113),"000")</f>
        <v>MAPRO033</v>
      </c>
      <c r="B113" s="7" t="s">
        <v>193</v>
      </c>
      <c r="C113" s="7" t="s">
        <v>9</v>
      </c>
      <c r="D113" s="7" t="s">
        <v>259</v>
      </c>
      <c r="E113" s="7" t="s">
        <v>260</v>
      </c>
      <c r="F113" s="7"/>
      <c r="G113" s="7"/>
      <c r="H113" s="7" t="s">
        <v>23</v>
      </c>
      <c r="I113" s="7"/>
    </row>
    <row r="114" spans="1:9" ht="37.5" customHeight="1">
      <c r="A114" s="7" t="str">
        <f xml:space="preserve"> "MA" &amp; LEFT(B114,3) &amp; TEXT(COUNTIF($B$2:B114,B114),"000")</f>
        <v>MAPRO034</v>
      </c>
      <c r="B114" s="7" t="s">
        <v>193</v>
      </c>
      <c r="C114" s="7" t="s">
        <v>9</v>
      </c>
      <c r="D114" s="7" t="s">
        <v>261</v>
      </c>
      <c r="E114" s="7" t="s">
        <v>262</v>
      </c>
      <c r="F114" s="7"/>
      <c r="G114" s="7"/>
      <c r="H114" s="7" t="s">
        <v>23</v>
      </c>
      <c r="I114" s="7"/>
    </row>
    <row r="115" spans="1:9" ht="31.5" customHeight="1">
      <c r="A115" s="7" t="str">
        <f xml:space="preserve"> "MA" &amp; LEFT(B115,3) &amp; TEXT(COUNTIF($B$2:B115,B115),"000")</f>
        <v>MAPRO035</v>
      </c>
      <c r="B115" s="7" t="s">
        <v>193</v>
      </c>
      <c r="C115" s="7" t="s">
        <v>9</v>
      </c>
      <c r="D115" s="7" t="s">
        <v>263</v>
      </c>
      <c r="E115" s="7" t="s">
        <v>264</v>
      </c>
      <c r="F115" s="7"/>
      <c r="G115" s="7"/>
      <c r="H115" s="7" t="s">
        <v>23</v>
      </c>
      <c r="I115" s="7"/>
    </row>
    <row r="116" spans="1:9" ht="17.25">
      <c r="A116" s="7" t="str">
        <f xml:space="preserve"> "MA" &amp; LEFT(B116,3) &amp; TEXT(COUNTIF($B$2:B116,B116),"000")</f>
        <v>MAPRO036</v>
      </c>
      <c r="B116" s="7" t="s">
        <v>193</v>
      </c>
      <c r="C116" s="7" t="s">
        <v>9</v>
      </c>
      <c r="D116" s="7" t="s">
        <v>265</v>
      </c>
      <c r="E116" s="7" t="s">
        <v>266</v>
      </c>
      <c r="F116" s="7"/>
      <c r="G116" s="7"/>
      <c r="H116" s="7" t="s">
        <v>28</v>
      </c>
      <c r="I116" s="7"/>
    </row>
    <row r="117" spans="1:9" ht="36">
      <c r="A117" s="7" t="str">
        <f xml:space="preserve"> "MA" &amp; LEFT(B117,3) &amp; TEXT(COUNTIF($B$2:B117,B117),"000")</f>
        <v>MAPRO037</v>
      </c>
      <c r="B117" s="7" t="s">
        <v>193</v>
      </c>
      <c r="C117" s="7" t="s">
        <v>9</v>
      </c>
      <c r="D117" s="7" t="s">
        <v>267</v>
      </c>
      <c r="E117" s="7" t="s">
        <v>268</v>
      </c>
      <c r="F117" s="7"/>
      <c r="G117" s="7"/>
      <c r="H117" s="7" t="s">
        <v>23</v>
      </c>
      <c r="I117" s="7"/>
    </row>
    <row r="118" spans="1:9" ht="36">
      <c r="A118" s="7" t="str">
        <f xml:space="preserve"> "MA" &amp; LEFT(B118,3) &amp; TEXT(COUNTIF($B$2:B118,B118),"000")</f>
        <v>MAPRO038</v>
      </c>
      <c r="B118" s="7" t="s">
        <v>193</v>
      </c>
      <c r="C118" s="7" t="s">
        <v>65</v>
      </c>
      <c r="D118" s="7" t="s">
        <v>269</v>
      </c>
      <c r="E118" s="7" t="s">
        <v>270</v>
      </c>
      <c r="F118" s="7"/>
      <c r="G118" s="7"/>
      <c r="H118" s="7" t="s">
        <v>23</v>
      </c>
      <c r="I118" s="7"/>
    </row>
    <row r="119" spans="1:9" ht="36">
      <c r="A119" s="7" t="str">
        <f xml:space="preserve"> "MA" &amp; LEFT(B119,3) &amp; TEXT(COUNTIF($B$2:B119,B119),"000")</f>
        <v>MAPRO039</v>
      </c>
      <c r="B119" s="7" t="s">
        <v>193</v>
      </c>
      <c r="C119" s="7" t="s">
        <v>65</v>
      </c>
      <c r="D119" s="7" t="s">
        <v>271</v>
      </c>
      <c r="E119" s="7" t="s">
        <v>272</v>
      </c>
      <c r="F119" s="7"/>
      <c r="G119" s="7"/>
      <c r="H119" s="7" t="s">
        <v>23</v>
      </c>
      <c r="I119" s="7"/>
    </row>
    <row r="120" spans="1:9" ht="31.5" customHeight="1">
      <c r="A120" s="7" t="str">
        <f xml:space="preserve"> "MA" &amp; LEFT(B120,3) &amp; TEXT(COUNTIF($B$2:B120,B120),"000")</f>
        <v>MAPRO040</v>
      </c>
      <c r="B120" s="7" t="s">
        <v>193</v>
      </c>
      <c r="C120" s="7" t="s">
        <v>65</v>
      </c>
      <c r="D120" s="7" t="s">
        <v>273</v>
      </c>
      <c r="E120" s="7" t="s">
        <v>274</v>
      </c>
      <c r="F120" s="7"/>
      <c r="G120" s="7"/>
      <c r="H120" s="7" t="s">
        <v>23</v>
      </c>
      <c r="I120" s="7"/>
    </row>
    <row r="121" spans="1:9" ht="36">
      <c r="A121" s="7" t="str">
        <f xml:space="preserve"> "MA" &amp; LEFT(B121,3) &amp; TEXT(COUNTIF($B$2:B121,B121),"000")</f>
        <v>MAPRO041</v>
      </c>
      <c r="B121" s="7" t="s">
        <v>193</v>
      </c>
      <c r="C121" s="7" t="s">
        <v>65</v>
      </c>
      <c r="D121" s="7" t="s">
        <v>275</v>
      </c>
      <c r="E121" s="7" t="s">
        <v>276</v>
      </c>
      <c r="F121" s="7"/>
      <c r="G121" s="7"/>
      <c r="H121" s="7" t="s">
        <v>23</v>
      </c>
      <c r="I121" s="7"/>
    </row>
    <row r="122" spans="1:9" ht="36">
      <c r="A122" s="7" t="str">
        <f xml:space="preserve"> "MA" &amp; LEFT(B122,3) &amp; TEXT(COUNTIF($B$2:B122,B122),"000")</f>
        <v>MAPRO042</v>
      </c>
      <c r="B122" s="7" t="s">
        <v>193</v>
      </c>
      <c r="C122" s="7" t="s">
        <v>65</v>
      </c>
      <c r="D122" s="7" t="s">
        <v>277</v>
      </c>
      <c r="E122" s="7" t="s">
        <v>278</v>
      </c>
      <c r="F122" s="7"/>
      <c r="G122" s="7"/>
      <c r="H122" s="7" t="s">
        <v>23</v>
      </c>
      <c r="I122" s="7"/>
    </row>
    <row r="123" spans="1:9" ht="36">
      <c r="A123" s="7" t="str">
        <f xml:space="preserve"> "MA" &amp; LEFT(B123,3) &amp; TEXT(COUNTIF($B$2:B123,B123),"000")</f>
        <v>MAPRO043</v>
      </c>
      <c r="B123" s="7" t="s">
        <v>193</v>
      </c>
      <c r="C123" s="7" t="s">
        <v>65</v>
      </c>
      <c r="D123" s="7" t="s">
        <v>279</v>
      </c>
      <c r="E123" s="7" t="s">
        <v>280</v>
      </c>
      <c r="F123" s="7"/>
      <c r="G123" s="7"/>
      <c r="H123" s="7" t="s">
        <v>23</v>
      </c>
      <c r="I123" s="7"/>
    </row>
    <row r="124" spans="1:9" ht="29.25" customHeight="1">
      <c r="A124" s="7" t="str">
        <f xml:space="preserve"> "MA" &amp; LEFT(B124,3) &amp; TEXT(COUNTIF($B$2:B124,B124),"000")</f>
        <v>MAPRO044</v>
      </c>
      <c r="B124" s="7" t="s">
        <v>193</v>
      </c>
      <c r="C124" s="7" t="s">
        <v>65</v>
      </c>
      <c r="D124" s="7" t="s">
        <v>281</v>
      </c>
      <c r="E124" s="7" t="s">
        <v>282</v>
      </c>
      <c r="F124" s="7"/>
      <c r="G124" s="7"/>
      <c r="H124" s="7" t="s">
        <v>28</v>
      </c>
      <c r="I124" s="7"/>
    </row>
    <row r="125" spans="1:9" ht="36">
      <c r="A125" s="7" t="str">
        <f xml:space="preserve"> "MA" &amp; LEFT(B125,3) &amp; TEXT(COUNTIF($B$2:B125,B125),"000")</f>
        <v>MAPRO045</v>
      </c>
      <c r="B125" s="7" t="s">
        <v>193</v>
      </c>
      <c r="C125" s="7" t="s">
        <v>65</v>
      </c>
      <c r="D125" s="7" t="s">
        <v>283</v>
      </c>
      <c r="E125" s="7" t="s">
        <v>284</v>
      </c>
      <c r="F125" s="7"/>
      <c r="G125" s="7"/>
      <c r="H125" s="7" t="s">
        <v>28</v>
      </c>
      <c r="I125" s="7"/>
    </row>
    <row r="126" spans="1:9" ht="36">
      <c r="A126" s="7" t="str">
        <f xml:space="preserve"> "MA" &amp; LEFT(B126,3) &amp; TEXT(COUNTIF($B$2:B126,B126),"000")</f>
        <v>MAPRO046</v>
      </c>
      <c r="B126" s="7" t="s">
        <v>193</v>
      </c>
      <c r="C126" s="7" t="s">
        <v>65</v>
      </c>
      <c r="D126" s="7" t="s">
        <v>285</v>
      </c>
      <c r="E126" s="7" t="s">
        <v>286</v>
      </c>
      <c r="F126" s="7"/>
      <c r="G126" s="7"/>
      <c r="H126" s="7" t="s">
        <v>23</v>
      </c>
      <c r="I126" s="7"/>
    </row>
    <row r="127" spans="1:9" ht="36">
      <c r="A127" s="7" t="str">
        <f xml:space="preserve"> "MA" &amp; LEFT(B127,3) &amp; TEXT(COUNTIF($B$2:B127,B127),"000")</f>
        <v>MAPRO047</v>
      </c>
      <c r="B127" s="7" t="s">
        <v>193</v>
      </c>
      <c r="C127" s="7" t="s">
        <v>65</v>
      </c>
      <c r="D127" s="7" t="s">
        <v>287</v>
      </c>
      <c r="E127" s="7" t="s">
        <v>288</v>
      </c>
      <c r="F127" s="7"/>
      <c r="G127" s="7"/>
      <c r="H127" s="7" t="s">
        <v>23</v>
      </c>
      <c r="I127" s="7"/>
    </row>
    <row r="128" spans="1:9" ht="36">
      <c r="A128" s="7" t="str">
        <f xml:space="preserve"> "MA" &amp; LEFT(B128,3) &amp; TEXT(COUNTIF($B$2:B128,B128),"000")</f>
        <v>MAPRO048</v>
      </c>
      <c r="B128" s="7" t="s">
        <v>193</v>
      </c>
      <c r="C128" s="7" t="s">
        <v>65</v>
      </c>
      <c r="D128" s="7" t="s">
        <v>289</v>
      </c>
      <c r="E128" s="7" t="s">
        <v>290</v>
      </c>
      <c r="F128" s="7"/>
      <c r="G128" s="7"/>
      <c r="H128" s="7" t="s">
        <v>23</v>
      </c>
      <c r="I128" s="7"/>
    </row>
    <row r="129" spans="1:9" ht="17.25">
      <c r="A129" s="7" t="str">
        <f xml:space="preserve"> "MA" &amp; LEFT(B129,3) &amp; TEXT(COUNTIF($B$2:B129,B129),"000")</f>
        <v>MAPRO049</v>
      </c>
      <c r="B129" s="7" t="s">
        <v>193</v>
      </c>
      <c r="C129" s="7" t="s">
        <v>65</v>
      </c>
      <c r="D129" s="7" t="s">
        <v>291</v>
      </c>
      <c r="E129" s="7" t="s">
        <v>292</v>
      </c>
      <c r="F129" s="7"/>
      <c r="G129" s="7"/>
      <c r="H129" s="7" t="s">
        <v>127</v>
      </c>
      <c r="I129" s="7"/>
    </row>
    <row r="130" spans="1:9" ht="17.25">
      <c r="A130" s="7" t="str">
        <f xml:space="preserve"> "MA" &amp; LEFT(B130,3) &amp; TEXT(COUNTIF($B$2:B130,B130),"000")</f>
        <v>MAPRO050</v>
      </c>
      <c r="B130" s="7" t="s">
        <v>193</v>
      </c>
      <c r="C130" s="7" t="s">
        <v>9</v>
      </c>
      <c r="D130" s="7" t="s">
        <v>293</v>
      </c>
      <c r="E130" s="7" t="s">
        <v>294</v>
      </c>
      <c r="F130" s="7"/>
      <c r="G130" s="7"/>
      <c r="H130" s="7" t="s">
        <v>88</v>
      </c>
      <c r="I130" s="7"/>
    </row>
    <row r="131" spans="1:9" ht="36">
      <c r="A131" s="7" t="str">
        <f xml:space="preserve"> "MA" &amp; LEFT(B131,3) &amp; TEXT(COUNTIF($B$2:B131,B131),"000")</f>
        <v>MAPRO051</v>
      </c>
      <c r="B131" s="7" t="s">
        <v>193</v>
      </c>
      <c r="C131" s="7" t="s">
        <v>9</v>
      </c>
      <c r="D131" s="7" t="s">
        <v>295</v>
      </c>
      <c r="E131" s="7" t="s">
        <v>296</v>
      </c>
      <c r="F131" s="7"/>
      <c r="G131" s="7"/>
      <c r="H131" s="7" t="s">
        <v>16</v>
      </c>
      <c r="I131" s="7"/>
    </row>
    <row r="132" spans="1:9" ht="36">
      <c r="A132" s="7" t="str">
        <f xml:space="preserve"> "MA" &amp; LEFT(B132,3) &amp; TEXT(COUNTIF($B$2:B132,B132),"000")</f>
        <v>MAPRO052</v>
      </c>
      <c r="B132" s="7" t="s">
        <v>193</v>
      </c>
      <c r="C132" s="7" t="s">
        <v>9</v>
      </c>
      <c r="D132" s="7" t="s">
        <v>297</v>
      </c>
      <c r="E132" s="7" t="s">
        <v>298</v>
      </c>
      <c r="F132" s="7"/>
      <c r="G132" s="7"/>
      <c r="H132" s="7" t="s">
        <v>16</v>
      </c>
      <c r="I132" s="7"/>
    </row>
    <row r="133" spans="1:9" ht="23.25" customHeight="1">
      <c r="A133" s="7" t="str">
        <f xml:space="preserve"> "MA" &amp; LEFT(B133,3) &amp; TEXT(COUNTIF($B$2:B133,B133),"000")</f>
        <v>MAPRO053</v>
      </c>
      <c r="B133" s="7" t="s">
        <v>193</v>
      </c>
      <c r="C133" s="7" t="s">
        <v>9</v>
      </c>
      <c r="D133" s="7" t="s">
        <v>299</v>
      </c>
      <c r="E133" s="7" t="s">
        <v>300</v>
      </c>
      <c r="F133" s="7"/>
      <c r="G133" s="7"/>
      <c r="H133" s="7" t="s">
        <v>16</v>
      </c>
      <c r="I133" s="7"/>
    </row>
    <row r="134" spans="1:9" ht="17.25">
      <c r="A134" s="7" t="str">
        <f xml:space="preserve"> "MA" &amp; LEFT(B134,3) &amp; TEXT(COUNTIF($B$2:B134,B134),"000")</f>
        <v>MAPRO054</v>
      </c>
      <c r="B134" s="7" t="s">
        <v>193</v>
      </c>
      <c r="C134" s="7" t="s">
        <v>9</v>
      </c>
      <c r="D134" s="7" t="s">
        <v>301</v>
      </c>
      <c r="E134" s="7" t="s">
        <v>302</v>
      </c>
      <c r="F134" s="7"/>
      <c r="G134" s="7"/>
      <c r="H134" s="7" t="s">
        <v>16</v>
      </c>
      <c r="I134" s="7"/>
    </row>
    <row r="135" spans="1:9" ht="30.75" customHeight="1">
      <c r="A135" s="7" t="str">
        <f xml:space="preserve"> "MA" &amp; LEFT(B135,3) &amp; TEXT(COUNTIF($B$2:B135,B135),"000")</f>
        <v>MAPRO055</v>
      </c>
      <c r="B135" s="7" t="s">
        <v>193</v>
      </c>
      <c r="C135" s="7" t="s">
        <v>9</v>
      </c>
      <c r="D135" s="7" t="s">
        <v>303</v>
      </c>
      <c r="E135" s="7" t="s">
        <v>304</v>
      </c>
      <c r="F135" s="7"/>
      <c r="G135" s="7"/>
      <c r="H135" s="7" t="s">
        <v>16</v>
      </c>
      <c r="I135" s="7"/>
    </row>
    <row r="136" spans="1:9" ht="17.25">
      <c r="A136" s="7" t="str">
        <f xml:space="preserve"> "MA" &amp; LEFT(B136,3) &amp; TEXT(COUNTIF($B$2:B136,B136),"000")</f>
        <v>MAPRO056</v>
      </c>
      <c r="B136" s="7" t="s">
        <v>193</v>
      </c>
      <c r="C136" s="7" t="s">
        <v>65</v>
      </c>
      <c r="D136" s="7" t="s">
        <v>305</v>
      </c>
      <c r="E136" s="7" t="s">
        <v>306</v>
      </c>
      <c r="F136" s="7"/>
      <c r="G136" s="7"/>
      <c r="H136" s="7" t="s">
        <v>16</v>
      </c>
      <c r="I136" s="7"/>
    </row>
    <row r="137" spans="1:9" ht="36">
      <c r="A137" s="7" t="str">
        <f xml:space="preserve"> "MA" &amp; LEFT(B137,3) &amp; TEXT(COUNTIF($B$2:B137,B137),"000")</f>
        <v>MAPRO057</v>
      </c>
      <c r="B137" s="7" t="s">
        <v>193</v>
      </c>
      <c r="C137" s="7" t="s">
        <v>9</v>
      </c>
      <c r="D137" s="7" t="s">
        <v>307</v>
      </c>
      <c r="E137" s="7" t="s">
        <v>308</v>
      </c>
      <c r="F137" s="7"/>
      <c r="G137" s="7"/>
      <c r="H137" s="7" t="s">
        <v>23</v>
      </c>
      <c r="I137" s="7"/>
    </row>
    <row r="138" spans="1:9" ht="33" customHeight="1">
      <c r="A138" s="7" t="str">
        <f xml:space="preserve"> "MA" &amp; LEFT(B138,3) &amp; TEXT(COUNTIF($B$2:B138,B138),"000")</f>
        <v>MAPRO058</v>
      </c>
      <c r="B138" s="7" t="s">
        <v>193</v>
      </c>
      <c r="C138" s="7" t="s">
        <v>65</v>
      </c>
      <c r="D138" s="7" t="s">
        <v>309</v>
      </c>
      <c r="E138" s="7" t="s">
        <v>310</v>
      </c>
      <c r="F138" s="7"/>
      <c r="G138" s="7"/>
      <c r="H138" s="7" t="s">
        <v>12</v>
      </c>
      <c r="I138" s="7"/>
    </row>
    <row r="139" spans="1:9" ht="17.25">
      <c r="A139" s="7" t="str">
        <f xml:space="preserve"> "MA" &amp; LEFT(B139,3) &amp; TEXT(COUNTIF($B$2:B139,B139),"000")</f>
        <v>MAPRO059</v>
      </c>
      <c r="B139" s="7" t="s">
        <v>193</v>
      </c>
      <c r="C139" s="7" t="s">
        <v>9</v>
      </c>
      <c r="D139" s="7" t="s">
        <v>311</v>
      </c>
      <c r="E139" s="7" t="s">
        <v>312</v>
      </c>
      <c r="F139" s="7"/>
      <c r="G139" s="7"/>
      <c r="H139" s="7" t="s">
        <v>12</v>
      </c>
      <c r="I139" s="7"/>
    </row>
    <row r="140" spans="1:9" ht="23.25" customHeight="1">
      <c r="A140" s="7" t="str">
        <f xml:space="preserve"> "MA" &amp; LEFT(B140,3) &amp; TEXT(COUNTIF($B$2:B140,B140),"000")</f>
        <v>MAPRO060</v>
      </c>
      <c r="B140" s="7" t="s">
        <v>193</v>
      </c>
      <c r="C140" s="7" t="s">
        <v>9</v>
      </c>
      <c r="D140" s="7" t="s">
        <v>313</v>
      </c>
      <c r="E140" s="7" t="s">
        <v>314</v>
      </c>
      <c r="F140" s="7"/>
      <c r="G140" s="7"/>
      <c r="H140" s="7" t="s">
        <v>12</v>
      </c>
      <c r="I140" s="7"/>
    </row>
    <row r="141" spans="1:9" ht="17.25">
      <c r="A141" s="7" t="str">
        <f xml:space="preserve"> "MA" &amp; LEFT(B141,3) &amp; TEXT(COUNTIF($B$2:B141,B141),"000")</f>
        <v>MAPRO061</v>
      </c>
      <c r="B141" s="7" t="s">
        <v>193</v>
      </c>
      <c r="C141" s="7" t="s">
        <v>65</v>
      </c>
      <c r="D141" s="7" t="s">
        <v>315</v>
      </c>
      <c r="E141" s="7" t="s">
        <v>316</v>
      </c>
      <c r="F141" s="7"/>
      <c r="G141" s="7"/>
      <c r="H141" s="7" t="s">
        <v>12</v>
      </c>
      <c r="I141" s="7"/>
    </row>
    <row r="142" spans="1:9" ht="36">
      <c r="A142" s="7" t="str">
        <f xml:space="preserve"> "MA" &amp; LEFT(B142,3) &amp; TEXT(COUNTIF($B$2:B142,B142),"000")</f>
        <v>MAPRO062</v>
      </c>
      <c r="B142" s="7" t="s">
        <v>193</v>
      </c>
      <c r="C142" s="7" t="s">
        <v>9</v>
      </c>
      <c r="D142" s="7" t="s">
        <v>317</v>
      </c>
      <c r="E142" s="7" t="s">
        <v>318</v>
      </c>
      <c r="F142" s="7"/>
      <c r="G142" s="7"/>
      <c r="H142" s="7" t="s">
        <v>88</v>
      </c>
      <c r="I142" s="7"/>
    </row>
    <row r="143" spans="1:9" ht="17.25">
      <c r="A143" s="7" t="str">
        <f xml:space="preserve"> "MA" &amp; LEFT(B143,3) &amp; TEXT(COUNTIF($B$2:B143,B143),"000")</f>
        <v>MAPRO063</v>
      </c>
      <c r="B143" s="7" t="s">
        <v>193</v>
      </c>
      <c r="C143" s="7" t="s">
        <v>9</v>
      </c>
      <c r="D143" s="7" t="s">
        <v>319</v>
      </c>
      <c r="E143" s="7" t="s">
        <v>320</v>
      </c>
      <c r="F143" s="7"/>
      <c r="G143" s="7"/>
      <c r="H143" s="7" t="s">
        <v>88</v>
      </c>
      <c r="I143" s="7"/>
    </row>
    <row r="144" spans="1:9" ht="36">
      <c r="A144" s="7" t="str">
        <f xml:space="preserve"> "MA" &amp; LEFT(B144,3) &amp; TEXT(COUNTIF($B$2:B144,B144),"000")</f>
        <v>MAPRO064</v>
      </c>
      <c r="B144" s="7" t="s">
        <v>193</v>
      </c>
      <c r="C144" s="7" t="s">
        <v>65</v>
      </c>
      <c r="D144" s="7" t="s">
        <v>321</v>
      </c>
      <c r="E144" s="7" t="s">
        <v>322</v>
      </c>
      <c r="F144" s="7"/>
      <c r="G144" s="7"/>
      <c r="H144" s="7" t="s">
        <v>88</v>
      </c>
      <c r="I144" s="7"/>
    </row>
    <row r="145" spans="1:9" ht="36">
      <c r="A145" s="7" t="str">
        <f xml:space="preserve"> "MA" &amp; LEFT(B145,3) &amp; TEXT(COUNTIF($B$2:B145,B145),"000")</f>
        <v>MAPRO065</v>
      </c>
      <c r="B145" s="7" t="s">
        <v>193</v>
      </c>
      <c r="C145" s="7" t="s">
        <v>9</v>
      </c>
      <c r="D145" s="7" t="s">
        <v>323</v>
      </c>
      <c r="E145" s="7" t="s">
        <v>324</v>
      </c>
      <c r="F145" s="7"/>
      <c r="G145" s="7"/>
      <c r="H145" s="7" t="s">
        <v>88</v>
      </c>
      <c r="I145" s="7"/>
    </row>
    <row r="146" spans="1:9" ht="36">
      <c r="A146" s="7" t="str">
        <f xml:space="preserve"> "MA" &amp; LEFT(B146,3) &amp; TEXT(COUNTIF($B$2:B146,B146),"000")</f>
        <v>MAPRO066</v>
      </c>
      <c r="B146" s="7" t="s">
        <v>193</v>
      </c>
      <c r="C146" s="7" t="s">
        <v>9</v>
      </c>
      <c r="D146" s="7" t="s">
        <v>325</v>
      </c>
      <c r="E146" s="7" t="s">
        <v>326</v>
      </c>
      <c r="F146" s="7"/>
      <c r="G146" s="7"/>
      <c r="H146" s="7" t="s">
        <v>88</v>
      </c>
      <c r="I146" s="7"/>
    </row>
    <row r="147" spans="1:9" ht="36">
      <c r="A147" s="7" t="str">
        <f xml:space="preserve"> "MA" &amp; LEFT(B147,3) &amp; TEXT(COUNTIF($B$2:B147,B147),"000")</f>
        <v>MAPRO067</v>
      </c>
      <c r="B147" s="7" t="s">
        <v>193</v>
      </c>
      <c r="C147" s="7" t="s">
        <v>65</v>
      </c>
      <c r="D147" s="7" t="s">
        <v>327</v>
      </c>
      <c r="E147" s="7" t="s">
        <v>328</v>
      </c>
      <c r="F147" s="7"/>
      <c r="G147" s="7"/>
      <c r="H147" s="7" t="s">
        <v>88</v>
      </c>
      <c r="I147" s="7"/>
    </row>
    <row r="148" spans="1:9" ht="36">
      <c r="A148" s="7" t="str">
        <f xml:space="preserve"> "MA" &amp; LEFT(B148,3) &amp; TEXT(COUNTIF($B$2:B148,B148),"000")</f>
        <v>MAPRO068</v>
      </c>
      <c r="B148" s="7" t="s">
        <v>193</v>
      </c>
      <c r="C148" s="7" t="s">
        <v>9</v>
      </c>
      <c r="D148" s="7" t="s">
        <v>329</v>
      </c>
      <c r="E148" s="7" t="s">
        <v>330</v>
      </c>
      <c r="F148" s="7"/>
      <c r="G148" s="7"/>
      <c r="H148" s="7" t="s">
        <v>12</v>
      </c>
      <c r="I148" s="7"/>
    </row>
    <row r="149" spans="1:9" ht="17.25">
      <c r="A149" s="7" t="str">
        <f xml:space="preserve"> "MA" &amp; LEFT(B149,3) &amp; TEXT(COUNTIF($B$2:B149,B149),"000")</f>
        <v>MAPRO069</v>
      </c>
      <c r="B149" s="7" t="s">
        <v>193</v>
      </c>
      <c r="C149" s="7" t="s">
        <v>9</v>
      </c>
      <c r="D149" s="7" t="s">
        <v>331</v>
      </c>
      <c r="E149" s="7" t="s">
        <v>332</v>
      </c>
      <c r="F149" s="7"/>
      <c r="G149" s="7"/>
      <c r="H149" s="7" t="s">
        <v>12</v>
      </c>
      <c r="I149" s="7"/>
    </row>
    <row r="150" spans="1:9" ht="17.25">
      <c r="A150" s="7" t="str">
        <f xml:space="preserve"> "MA" &amp; LEFT(B150,3) &amp; TEXT(COUNTIF($B$2:B150,B150),"000")</f>
        <v>MAPRO070</v>
      </c>
      <c r="B150" s="7" t="s">
        <v>193</v>
      </c>
      <c r="C150" s="7" t="s">
        <v>65</v>
      </c>
      <c r="D150" s="7" t="s">
        <v>333</v>
      </c>
      <c r="E150" s="7" t="s">
        <v>334</v>
      </c>
      <c r="F150" s="7"/>
      <c r="G150" s="7"/>
      <c r="H150" s="7" t="s">
        <v>12</v>
      </c>
      <c r="I150" s="7"/>
    </row>
    <row r="151" spans="1:9" ht="36">
      <c r="A151" s="7" t="str">
        <f xml:space="preserve"> "MA" &amp; LEFT(B151,3) &amp; TEXT(COUNTIF($B$2:B151,B151),"000")</f>
        <v>MAPRO071</v>
      </c>
      <c r="B151" s="7" t="s">
        <v>193</v>
      </c>
      <c r="C151" s="7" t="s">
        <v>9</v>
      </c>
      <c r="D151" s="7" t="s">
        <v>335</v>
      </c>
      <c r="E151" s="7" t="s">
        <v>336</v>
      </c>
      <c r="F151" s="7"/>
      <c r="G151" s="7"/>
      <c r="H151" s="7" t="s">
        <v>12</v>
      </c>
      <c r="I151" s="7"/>
    </row>
    <row r="152" spans="1:9" ht="17.25">
      <c r="A152" s="7" t="str">
        <f xml:space="preserve"> "MA" &amp; LEFT(B152,3) &amp; TEXT(COUNTIF($B$2:B152,B152),"000")</f>
        <v>MAPRO072</v>
      </c>
      <c r="B152" s="7" t="s">
        <v>193</v>
      </c>
      <c r="C152" s="7" t="s">
        <v>9</v>
      </c>
      <c r="D152" s="7" t="s">
        <v>337</v>
      </c>
      <c r="E152" s="7" t="s">
        <v>338</v>
      </c>
      <c r="F152" s="7"/>
      <c r="G152" s="7"/>
      <c r="H152" s="7" t="s">
        <v>12</v>
      </c>
      <c r="I152" s="7"/>
    </row>
    <row r="153" spans="1:9" ht="17.25">
      <c r="A153" s="7" t="str">
        <f xml:space="preserve"> "MA" &amp; LEFT(B153,3) &amp; TEXT(COUNTIF($B$2:B153,B153),"000")</f>
        <v>MAPRO073</v>
      </c>
      <c r="B153" s="7" t="s">
        <v>193</v>
      </c>
      <c r="C153" s="7" t="s">
        <v>65</v>
      </c>
      <c r="D153" s="7" t="s">
        <v>339</v>
      </c>
      <c r="E153" s="7" t="s">
        <v>340</v>
      </c>
      <c r="F153" s="7"/>
      <c r="G153" s="7"/>
      <c r="H153" s="7" t="s">
        <v>12</v>
      </c>
      <c r="I153" s="7"/>
    </row>
    <row r="154" spans="1:9" ht="36.75" customHeight="1">
      <c r="A154" s="7" t="str">
        <f xml:space="preserve"> "MA" &amp; LEFT(B154,3) &amp; TEXT(COUNTIF($B$2:B154,B154),"000")</f>
        <v>MAPRO074</v>
      </c>
      <c r="B154" s="7" t="s">
        <v>193</v>
      </c>
      <c r="C154" s="7" t="s">
        <v>9</v>
      </c>
      <c r="D154" s="7" t="s">
        <v>341</v>
      </c>
      <c r="E154" s="7" t="s">
        <v>342</v>
      </c>
      <c r="F154" s="7"/>
      <c r="G154" s="7"/>
      <c r="H154" s="7" t="s">
        <v>12</v>
      </c>
      <c r="I154" s="7"/>
    </row>
    <row r="155" spans="1:9" ht="17.25">
      <c r="A155" s="7" t="str">
        <f xml:space="preserve"> "MA" &amp; LEFT(B155,3) &amp; TEXT(COUNTIF($B$2:B155,B155),"000")</f>
        <v>MAPRO075</v>
      </c>
      <c r="B155" s="7" t="s">
        <v>193</v>
      </c>
      <c r="C155" s="7" t="s">
        <v>9</v>
      </c>
      <c r="D155" s="7" t="s">
        <v>343</v>
      </c>
      <c r="E155" s="7" t="s">
        <v>344</v>
      </c>
      <c r="F155" s="7"/>
      <c r="G155" s="7"/>
      <c r="H155" s="7" t="s">
        <v>12</v>
      </c>
      <c r="I155" s="7"/>
    </row>
    <row r="156" spans="1:9" ht="17.25">
      <c r="A156" s="7" t="str">
        <f xml:space="preserve"> "MA" &amp; LEFT(B156,3) &amp; TEXT(COUNTIF($B$2:B156,B156),"000")</f>
        <v>MAPRO076</v>
      </c>
      <c r="B156" s="7" t="s">
        <v>193</v>
      </c>
      <c r="C156" s="7" t="s">
        <v>65</v>
      </c>
      <c r="D156" s="7" t="s">
        <v>345</v>
      </c>
      <c r="E156" s="7" t="s">
        <v>346</v>
      </c>
      <c r="F156" s="7"/>
      <c r="G156" s="7"/>
      <c r="H156" s="7" t="s">
        <v>12</v>
      </c>
      <c r="I156" s="7"/>
    </row>
    <row r="157" spans="1:9" ht="33" customHeight="1">
      <c r="A157" s="7" t="str">
        <f xml:space="preserve"> "MA" &amp; LEFT(B157,3) &amp; TEXT(COUNTIF($B$2:B157,B157),"000")</f>
        <v>MAPRO077</v>
      </c>
      <c r="B157" s="7" t="s">
        <v>193</v>
      </c>
      <c r="C157" s="7" t="s">
        <v>9</v>
      </c>
      <c r="D157" s="7" t="s">
        <v>347</v>
      </c>
      <c r="E157" s="7" t="s">
        <v>348</v>
      </c>
      <c r="F157" s="7"/>
      <c r="G157" s="7"/>
      <c r="H157" s="7" t="s">
        <v>12</v>
      </c>
      <c r="I157" s="7"/>
    </row>
    <row r="158" spans="1:9" ht="17.25">
      <c r="A158" s="7" t="str">
        <f xml:space="preserve"> "MA" &amp; LEFT(B158,3) &amp; TEXT(COUNTIF($B$2:B158,B158),"000")</f>
        <v>MAPRO078</v>
      </c>
      <c r="B158" s="7" t="s">
        <v>193</v>
      </c>
      <c r="C158" s="7" t="s">
        <v>9</v>
      </c>
      <c r="D158" s="7" t="s">
        <v>349</v>
      </c>
      <c r="E158" s="7" t="s">
        <v>350</v>
      </c>
      <c r="F158" s="7"/>
      <c r="G158" s="7"/>
      <c r="H158" s="7" t="s">
        <v>12</v>
      </c>
      <c r="I158" s="7"/>
    </row>
    <row r="159" spans="1:9" ht="17.25">
      <c r="A159" s="7" t="str">
        <f xml:space="preserve"> "MA" &amp; LEFT(B159,3) &amp; TEXT(COUNTIF($B$2:B159,B159),"000")</f>
        <v>MAPRO079</v>
      </c>
      <c r="B159" s="7" t="s">
        <v>193</v>
      </c>
      <c r="C159" s="7" t="s">
        <v>65</v>
      </c>
      <c r="D159" s="7" t="s">
        <v>351</v>
      </c>
      <c r="E159" s="7" t="s">
        <v>352</v>
      </c>
      <c r="F159" s="7"/>
      <c r="G159" s="7"/>
      <c r="H159" s="7" t="s">
        <v>12</v>
      </c>
      <c r="I159" s="7"/>
    </row>
    <row r="160" spans="1:9" ht="36">
      <c r="A160" s="7" t="str">
        <f xml:space="preserve"> "MA" &amp; LEFT(B160,3) &amp; TEXT(COUNTIF($B$2:B160,B160),"000")</f>
        <v>MAPRO080</v>
      </c>
      <c r="B160" s="7" t="s">
        <v>193</v>
      </c>
      <c r="C160" s="7" t="s">
        <v>9</v>
      </c>
      <c r="D160" s="7" t="s">
        <v>353</v>
      </c>
      <c r="E160" s="7" t="s">
        <v>354</v>
      </c>
      <c r="F160" s="7"/>
      <c r="G160" s="7"/>
      <c r="H160" s="7" t="s">
        <v>12</v>
      </c>
      <c r="I160" s="7"/>
    </row>
    <row r="161" spans="1:9" ht="36">
      <c r="A161" s="7" t="str">
        <f xml:space="preserve"> "MA" &amp; LEFT(B161,3) &amp; TEXT(COUNTIF($B$2:B161,B161),"000")</f>
        <v>MAPRO081</v>
      </c>
      <c r="B161" s="7" t="s">
        <v>193</v>
      </c>
      <c r="C161" s="7" t="s">
        <v>65</v>
      </c>
      <c r="D161" s="7" t="s">
        <v>355</v>
      </c>
      <c r="E161" s="7" t="s">
        <v>356</v>
      </c>
      <c r="F161" s="7"/>
      <c r="G161" s="7"/>
      <c r="H161" s="7" t="s">
        <v>12</v>
      </c>
      <c r="I161" s="7"/>
    </row>
    <row r="162" spans="1:9" ht="36">
      <c r="A162" s="7" t="str">
        <f xml:space="preserve"> "MA" &amp; LEFT(B162,3) &amp; TEXT(COUNTIF($B$2:B162,B162),"000")</f>
        <v>MAPRO082</v>
      </c>
      <c r="B162" s="7" t="s">
        <v>193</v>
      </c>
      <c r="C162" s="7" t="s">
        <v>9</v>
      </c>
      <c r="D162" s="7" t="s">
        <v>357</v>
      </c>
      <c r="E162" s="7" t="s">
        <v>358</v>
      </c>
      <c r="F162" s="7"/>
      <c r="G162" s="7"/>
      <c r="H162" s="7" t="s">
        <v>12</v>
      </c>
      <c r="I162" s="7"/>
    </row>
    <row r="163" spans="1:9" ht="36">
      <c r="A163" s="7" t="str">
        <f xml:space="preserve"> "MA" &amp; LEFT(B163,3) &amp; TEXT(COUNTIF($B$2:B163,B163),"000")</f>
        <v>MAPRO083</v>
      </c>
      <c r="B163" s="7" t="s">
        <v>193</v>
      </c>
      <c r="C163" s="7" t="s">
        <v>65</v>
      </c>
      <c r="D163" s="7" t="s">
        <v>359</v>
      </c>
      <c r="E163" s="7" t="s">
        <v>360</v>
      </c>
      <c r="F163" s="7"/>
      <c r="G163" s="7"/>
      <c r="H163" s="7" t="s">
        <v>12</v>
      </c>
      <c r="I163" s="7"/>
    </row>
    <row r="164" spans="1:9" ht="36">
      <c r="A164" s="7" t="str">
        <f xml:space="preserve"> "MA" &amp; LEFT(B164,3) &amp; TEXT(COUNTIF($B$2:B164,B164),"000")</f>
        <v>MAPRO084</v>
      </c>
      <c r="B164" s="7" t="s">
        <v>193</v>
      </c>
      <c r="C164" s="7" t="s">
        <v>9</v>
      </c>
      <c r="D164" s="7" t="s">
        <v>361</v>
      </c>
      <c r="E164" s="7" t="s">
        <v>362</v>
      </c>
      <c r="F164" s="7"/>
      <c r="G164" s="7"/>
      <c r="H164" s="7"/>
      <c r="I164" s="7"/>
    </row>
    <row r="165" spans="1:9" ht="32.25" customHeight="1">
      <c r="A165" s="7" t="str">
        <f xml:space="preserve"> "MA" &amp; LEFT(B165,3) &amp; TEXT(COUNTIF($B$2:B165,B165),"000")</f>
        <v>MAPRO085</v>
      </c>
      <c r="B165" s="7" t="s">
        <v>193</v>
      </c>
      <c r="C165" s="7" t="s">
        <v>65</v>
      </c>
      <c r="D165" s="7" t="s">
        <v>363</v>
      </c>
      <c r="E165" s="7" t="s">
        <v>364</v>
      </c>
      <c r="F165" s="7"/>
      <c r="G165" s="7"/>
      <c r="H165" s="7"/>
      <c r="I165" s="7"/>
    </row>
    <row r="166" spans="1:9" ht="36">
      <c r="A166" s="7" t="str">
        <f xml:space="preserve"> "MA" &amp; LEFT(B166,3) &amp; TEXT(COUNTIF($B$2:B166,B166),"000")</f>
        <v>MAPRO086</v>
      </c>
      <c r="B166" s="7" t="s">
        <v>193</v>
      </c>
      <c r="C166" s="7" t="s">
        <v>65</v>
      </c>
      <c r="D166" s="7" t="s">
        <v>365</v>
      </c>
      <c r="E166" s="7" t="s">
        <v>366</v>
      </c>
      <c r="F166" s="7"/>
      <c r="G166" s="7"/>
      <c r="H166" s="7"/>
      <c r="I166" s="7"/>
    </row>
    <row r="167" spans="1:9" ht="36">
      <c r="A167" s="7" t="str">
        <f xml:space="preserve"> "MA" &amp; LEFT(B167,3) &amp; TEXT(COUNTIF($B$2:B167,B167),"000")</f>
        <v>MAPRO087</v>
      </c>
      <c r="B167" s="7" t="s">
        <v>193</v>
      </c>
      <c r="C167" s="7" t="s">
        <v>9</v>
      </c>
      <c r="D167" s="7" t="s">
        <v>367</v>
      </c>
      <c r="E167" s="7" t="s">
        <v>368</v>
      </c>
      <c r="F167" s="7"/>
      <c r="G167" s="7"/>
      <c r="H167" s="7"/>
      <c r="I167" s="7"/>
    </row>
    <row r="168" spans="1:9" ht="36">
      <c r="A168" s="7" t="str">
        <f xml:space="preserve"> "MA" &amp; LEFT(B168,3) &amp; TEXT(COUNTIF($B$2:B168,B168),"000")</f>
        <v>MAPRO088</v>
      </c>
      <c r="B168" s="7" t="s">
        <v>193</v>
      </c>
      <c r="C168" s="7" t="s">
        <v>9</v>
      </c>
      <c r="D168" s="7" t="s">
        <v>369</v>
      </c>
      <c r="E168" s="7" t="s">
        <v>370</v>
      </c>
      <c r="F168" s="7"/>
      <c r="G168" s="7"/>
      <c r="H168" s="7"/>
      <c r="I168" s="7"/>
    </row>
    <row r="169" spans="1:9" ht="17.25">
      <c r="A169" s="7" t="str">
        <f xml:space="preserve"> "MA" &amp; LEFT(B169,3) &amp; TEXT(COUNTIF($B$2:B169,B169),"000")</f>
        <v>MAPRO089</v>
      </c>
      <c r="B169" s="7" t="s">
        <v>193</v>
      </c>
      <c r="C169" s="7" t="s">
        <v>65</v>
      </c>
      <c r="D169" s="7" t="s">
        <v>371</v>
      </c>
      <c r="E169" s="7" t="s">
        <v>372</v>
      </c>
      <c r="F169" s="7"/>
      <c r="G169" s="7"/>
      <c r="H169" s="7"/>
      <c r="I169" s="7"/>
    </row>
    <row r="170" spans="1:9" ht="36">
      <c r="A170" s="7" t="str">
        <f xml:space="preserve"> "MA" &amp; LEFT(B170,3) &amp; TEXT(COUNTIF($B$2:B170,B170),"000")</f>
        <v>MAPRO090</v>
      </c>
      <c r="B170" s="7" t="s">
        <v>193</v>
      </c>
      <c r="C170" s="7" t="s">
        <v>65</v>
      </c>
      <c r="D170" s="7" t="s">
        <v>373</v>
      </c>
      <c r="E170" s="7" t="s">
        <v>374</v>
      </c>
      <c r="F170" s="7"/>
      <c r="G170" s="7"/>
      <c r="H170" s="7"/>
      <c r="I170" s="7"/>
    </row>
    <row r="171" spans="1:9" ht="36">
      <c r="A171" s="7" t="str">
        <f xml:space="preserve"> "MA" &amp; LEFT(B171,3) &amp; TEXT(COUNTIF($B$2:B171,B171),"000")</f>
        <v>MAPRO091</v>
      </c>
      <c r="B171" s="7" t="s">
        <v>193</v>
      </c>
      <c r="C171" s="7" t="s">
        <v>9</v>
      </c>
      <c r="D171" s="7" t="s">
        <v>375</v>
      </c>
      <c r="E171" s="7" t="s">
        <v>376</v>
      </c>
      <c r="F171" s="7"/>
      <c r="G171" s="7"/>
      <c r="H171" s="7"/>
      <c r="I171" s="7"/>
    </row>
    <row r="172" spans="1:9" ht="36">
      <c r="A172" s="7" t="str">
        <f xml:space="preserve"> "MA" &amp; LEFT(B172,3) &amp; TEXT(COUNTIF($B$2:B172,B172),"000")</f>
        <v>MAPRO092</v>
      </c>
      <c r="B172" s="7" t="s">
        <v>193</v>
      </c>
      <c r="C172" s="7" t="s">
        <v>9</v>
      </c>
      <c r="D172" s="7" t="s">
        <v>377</v>
      </c>
      <c r="E172" s="7" t="s">
        <v>378</v>
      </c>
      <c r="F172" s="7"/>
      <c r="G172" s="7"/>
      <c r="H172" s="7"/>
      <c r="I172" s="7"/>
    </row>
    <row r="173" spans="1:9" ht="36">
      <c r="A173" s="7" t="str">
        <f xml:space="preserve"> "MA" &amp; LEFT(B173,3) &amp; TEXT(COUNTIF($B$2:B173,B173),"000")</f>
        <v>MAPRO093</v>
      </c>
      <c r="B173" s="7" t="s">
        <v>193</v>
      </c>
      <c r="C173" s="7" t="s">
        <v>65</v>
      </c>
      <c r="D173" s="7" t="s">
        <v>379</v>
      </c>
      <c r="E173" s="7" t="s">
        <v>380</v>
      </c>
      <c r="F173" s="7"/>
      <c r="G173" s="7"/>
      <c r="H173" s="7"/>
      <c r="I173" s="7"/>
    </row>
    <row r="174" spans="1:9" ht="36">
      <c r="A174" s="7" t="str">
        <f xml:space="preserve"> "MA" &amp; LEFT(B174,3) &amp; TEXT(COUNTIF($B$2:B174,B174),"000")</f>
        <v>MAPRO094</v>
      </c>
      <c r="B174" s="7" t="s">
        <v>193</v>
      </c>
      <c r="C174" s="7" t="s">
        <v>65</v>
      </c>
      <c r="D174" s="7" t="s">
        <v>381</v>
      </c>
      <c r="E174" s="7" t="s">
        <v>382</v>
      </c>
      <c r="F174" s="7"/>
      <c r="G174" s="7"/>
      <c r="H174" s="7"/>
      <c r="I174" s="7"/>
    </row>
    <row r="175" spans="1:9" ht="36">
      <c r="A175" s="7" t="str">
        <f xml:space="preserve"> "MA" &amp; LEFT(B175,3) &amp; TEXT(COUNTIF($B$2:B175,B175),"000")</f>
        <v>MAPRO095</v>
      </c>
      <c r="B175" s="7" t="s">
        <v>193</v>
      </c>
      <c r="C175" s="7" t="s">
        <v>9</v>
      </c>
      <c r="D175" s="7" t="s">
        <v>383</v>
      </c>
      <c r="E175" s="7" t="s">
        <v>384</v>
      </c>
      <c r="F175" s="7"/>
      <c r="G175" s="7"/>
      <c r="H175" s="7"/>
      <c r="I175" s="7"/>
    </row>
    <row r="176" spans="1:9" ht="33" customHeight="1">
      <c r="A176" s="7" t="str">
        <f xml:space="preserve"> "MA" &amp; LEFT(B176,3) &amp; TEXT(COUNTIF($B$2:B176,B176),"000")</f>
        <v>MAPRO096</v>
      </c>
      <c r="B176" s="7" t="s">
        <v>193</v>
      </c>
      <c r="C176" s="7" t="s">
        <v>9</v>
      </c>
      <c r="D176" s="7" t="s">
        <v>385</v>
      </c>
      <c r="E176" s="7" t="s">
        <v>386</v>
      </c>
      <c r="F176" s="7"/>
      <c r="G176" s="7"/>
      <c r="H176" s="7"/>
      <c r="I176" s="7"/>
    </row>
    <row r="177" spans="1:9" ht="17.25">
      <c r="A177" s="7" t="str">
        <f xml:space="preserve"> "MA" &amp; LEFT(B177,3) &amp; TEXT(COUNTIF($B$2:B177,B177),"000")</f>
        <v>MAPRO097</v>
      </c>
      <c r="B177" s="7" t="s">
        <v>193</v>
      </c>
      <c r="C177" s="7" t="s">
        <v>65</v>
      </c>
      <c r="D177" s="7" t="s">
        <v>387</v>
      </c>
      <c r="E177" s="7" t="s">
        <v>388</v>
      </c>
      <c r="F177" s="7"/>
      <c r="G177" s="7"/>
      <c r="H177" s="7"/>
      <c r="I177" s="7"/>
    </row>
    <row r="178" spans="1:9" ht="36">
      <c r="A178" s="7" t="str">
        <f xml:space="preserve"> "MA" &amp; LEFT(B178,3) &amp; TEXT(COUNTIF($B$2:B178,B178),"000")</f>
        <v>MAPRO098</v>
      </c>
      <c r="B178" s="7" t="s">
        <v>193</v>
      </c>
      <c r="C178" s="7" t="s">
        <v>65</v>
      </c>
      <c r="D178" s="7" t="s">
        <v>389</v>
      </c>
      <c r="E178" s="7" t="s">
        <v>390</v>
      </c>
      <c r="F178" s="7"/>
      <c r="G178" s="7"/>
      <c r="H178" s="7"/>
      <c r="I178" s="7"/>
    </row>
    <row r="179" spans="1:9" ht="30.75" customHeight="1">
      <c r="A179" s="7" t="str">
        <f xml:space="preserve"> "MA" &amp; LEFT(B179,3) &amp; TEXT(COUNTIF($B$2:B179,B179),"000")</f>
        <v>MAPRO099</v>
      </c>
      <c r="B179" s="7" t="s">
        <v>193</v>
      </c>
      <c r="C179" s="7" t="s">
        <v>9</v>
      </c>
      <c r="D179" s="7" t="s">
        <v>391</v>
      </c>
      <c r="E179" s="7" t="s">
        <v>392</v>
      </c>
      <c r="F179" s="7"/>
      <c r="G179" s="7"/>
      <c r="H179" s="7"/>
      <c r="I179" s="7"/>
    </row>
    <row r="180" spans="1:9" ht="36">
      <c r="A180" s="7" t="str">
        <f xml:space="preserve"> "MA" &amp; LEFT(B180,3) &amp; TEXT(COUNTIF($B$2:B180,B180),"000")</f>
        <v>MAPRO100</v>
      </c>
      <c r="B180" s="7" t="s">
        <v>193</v>
      </c>
      <c r="C180" s="7" t="s">
        <v>9</v>
      </c>
      <c r="D180" s="7" t="s">
        <v>393</v>
      </c>
      <c r="E180" s="7" t="s">
        <v>394</v>
      </c>
      <c r="F180" s="7"/>
      <c r="G180" s="7"/>
      <c r="H180" s="7"/>
      <c r="I180" s="7"/>
    </row>
    <row r="181" spans="1:9" ht="17.25">
      <c r="A181" s="7" t="str">
        <f xml:space="preserve"> "MA" &amp; LEFT(B181,3) &amp; TEXT(COUNTIF($B$2:B181,B181),"000")</f>
        <v>MAPRO101</v>
      </c>
      <c r="B181" s="7" t="s">
        <v>193</v>
      </c>
      <c r="C181" s="7" t="s">
        <v>65</v>
      </c>
      <c r="D181" s="7" t="s">
        <v>395</v>
      </c>
      <c r="E181" s="7" t="s">
        <v>396</v>
      </c>
      <c r="F181" s="7"/>
      <c r="G181" s="7"/>
      <c r="H181" s="7"/>
      <c r="I181" s="7"/>
    </row>
    <row r="182" spans="1:9" ht="36">
      <c r="A182" s="7" t="str">
        <f xml:space="preserve"> "MA" &amp; LEFT(B182,3) &amp; TEXT(COUNTIF($B$2:B182,B182),"000")</f>
        <v>MAPRO102</v>
      </c>
      <c r="B182" s="7" t="s">
        <v>193</v>
      </c>
      <c r="C182" s="7" t="s">
        <v>65</v>
      </c>
      <c r="D182" s="7" t="s">
        <v>397</v>
      </c>
      <c r="E182" s="7" t="s">
        <v>398</v>
      </c>
      <c r="F182" s="7"/>
      <c r="G182" s="7"/>
      <c r="H182" s="7"/>
      <c r="I182" s="7"/>
    </row>
    <row r="183" spans="1:9" ht="36">
      <c r="A183" s="7" t="str">
        <f xml:space="preserve"> "MA" &amp; LEFT(B183,3) &amp; TEXT(COUNTIF($B$2:B183,B183),"000")</f>
        <v>MAPRO103</v>
      </c>
      <c r="B183" s="7" t="s">
        <v>193</v>
      </c>
      <c r="C183" s="7" t="s">
        <v>9</v>
      </c>
      <c r="D183" s="7" t="s">
        <v>399</v>
      </c>
      <c r="E183" s="7" t="s">
        <v>400</v>
      </c>
      <c r="F183" s="7"/>
      <c r="G183" s="7"/>
      <c r="H183" s="7"/>
      <c r="I183" s="7"/>
    </row>
    <row r="184" spans="1:9" ht="36">
      <c r="A184" s="7" t="str">
        <f xml:space="preserve"> "MA" &amp; LEFT(B184,3) &amp; TEXT(COUNTIF($B$2:B184,B184),"000")</f>
        <v>MAPRO104</v>
      </c>
      <c r="B184" s="7" t="s">
        <v>193</v>
      </c>
      <c r="C184" s="7" t="s">
        <v>9</v>
      </c>
      <c r="D184" s="7" t="s">
        <v>401</v>
      </c>
      <c r="E184" s="7" t="s">
        <v>402</v>
      </c>
      <c r="F184" s="7"/>
      <c r="G184" s="7"/>
      <c r="H184" s="7"/>
      <c r="I184" s="7"/>
    </row>
    <row r="185" spans="1:9" ht="17.25">
      <c r="A185" s="7" t="str">
        <f xml:space="preserve"> "MA" &amp; LEFT(B185,3) &amp; TEXT(COUNTIF($B$2:B185,B185),"000")</f>
        <v>MAPRO105</v>
      </c>
      <c r="B185" s="7" t="s">
        <v>193</v>
      </c>
      <c r="C185" s="7" t="s">
        <v>65</v>
      </c>
      <c r="D185" s="7" t="s">
        <v>403</v>
      </c>
      <c r="E185" s="7" t="s">
        <v>404</v>
      </c>
      <c r="F185" s="7"/>
      <c r="G185" s="7"/>
      <c r="H185" s="7"/>
      <c r="I185" s="7"/>
    </row>
    <row r="186" spans="1:9" ht="36">
      <c r="A186" s="7" t="str">
        <f xml:space="preserve"> "MA" &amp; LEFT(B186,3) &amp; TEXT(COUNTIF($B$2:B186,B186),"000")</f>
        <v>MAPRO106</v>
      </c>
      <c r="B186" s="7" t="s">
        <v>193</v>
      </c>
      <c r="C186" s="7" t="s">
        <v>65</v>
      </c>
      <c r="D186" s="7" t="s">
        <v>405</v>
      </c>
      <c r="E186" s="7" t="s">
        <v>406</v>
      </c>
      <c r="F186" s="7"/>
      <c r="G186" s="7"/>
      <c r="H186" s="7"/>
      <c r="I186" s="7"/>
    </row>
    <row r="187" spans="1:9" ht="36">
      <c r="A187" s="7" t="str">
        <f xml:space="preserve"> "MA" &amp; LEFT(B187,3) &amp; TEXT(COUNTIF($B$2:B187,B187),"000")</f>
        <v>MAPRO107</v>
      </c>
      <c r="B187" s="7" t="s">
        <v>193</v>
      </c>
      <c r="C187" s="7" t="s">
        <v>9</v>
      </c>
      <c r="D187" s="7" t="s">
        <v>407</v>
      </c>
      <c r="E187" s="7" t="s">
        <v>408</v>
      </c>
      <c r="F187" s="7"/>
      <c r="G187" s="7"/>
      <c r="H187" s="7"/>
      <c r="I187" s="7"/>
    </row>
    <row r="188" spans="1:9" ht="36">
      <c r="A188" s="7" t="str">
        <f xml:space="preserve"> "MA" &amp; LEFT(B188,3) &amp; TEXT(COUNTIF($B$2:B188,B188),"000")</f>
        <v>MAPRO108</v>
      </c>
      <c r="B188" s="7" t="s">
        <v>193</v>
      </c>
      <c r="C188" s="7" t="s">
        <v>9</v>
      </c>
      <c r="D188" s="7" t="s">
        <v>409</v>
      </c>
      <c r="E188" s="7" t="s">
        <v>410</v>
      </c>
      <c r="F188" s="7"/>
      <c r="G188" s="7"/>
      <c r="H188" s="7"/>
      <c r="I188" s="7"/>
    </row>
    <row r="189" spans="1:9" ht="17.25">
      <c r="A189" s="7" t="str">
        <f xml:space="preserve"> "MA" &amp; LEFT(B189,3) &amp; TEXT(COUNTIF($B$2:B189,B189),"000")</f>
        <v>MAPRO109</v>
      </c>
      <c r="B189" s="7" t="s">
        <v>193</v>
      </c>
      <c r="C189" s="7" t="s">
        <v>65</v>
      </c>
      <c r="D189" s="7" t="s">
        <v>411</v>
      </c>
      <c r="E189" s="7" t="s">
        <v>412</v>
      </c>
      <c r="F189" s="7"/>
      <c r="G189" s="7"/>
      <c r="H189" s="7"/>
      <c r="I189" s="7"/>
    </row>
    <row r="190" spans="1:9" ht="36">
      <c r="A190" s="7" t="str">
        <f xml:space="preserve"> "MA" &amp; LEFT(B190,3) &amp; TEXT(COUNTIF($B$2:B190,B190),"000")</f>
        <v>MAPRO110</v>
      </c>
      <c r="B190" s="7" t="s">
        <v>193</v>
      </c>
      <c r="C190" s="7" t="s">
        <v>65</v>
      </c>
      <c r="D190" s="7" t="s">
        <v>413</v>
      </c>
      <c r="E190" s="7" t="s">
        <v>414</v>
      </c>
      <c r="F190" s="7"/>
      <c r="G190" s="7"/>
      <c r="H190" s="7"/>
      <c r="I190" s="7"/>
    </row>
    <row r="191" spans="1:9" ht="36">
      <c r="A191" s="7" t="str">
        <f xml:space="preserve"> "MA" &amp; LEFT(B191,3) &amp; TEXT(COUNTIF($B$2:B191,B191),"000")</f>
        <v>MAPRO111</v>
      </c>
      <c r="B191" s="7" t="s">
        <v>193</v>
      </c>
      <c r="C191" s="7" t="s">
        <v>9</v>
      </c>
      <c r="D191" s="7" t="s">
        <v>415</v>
      </c>
      <c r="E191" s="7" t="s">
        <v>416</v>
      </c>
      <c r="F191" s="7"/>
      <c r="G191" s="7"/>
      <c r="H191" s="7"/>
      <c r="I191" s="7"/>
    </row>
    <row r="192" spans="1:9" ht="36">
      <c r="A192" s="7" t="str">
        <f xml:space="preserve"> "MA" &amp; LEFT(B192,3) &amp; TEXT(COUNTIF($B$2:B192,B192),"000")</f>
        <v>MAPRO112</v>
      </c>
      <c r="B192" s="7" t="s">
        <v>193</v>
      </c>
      <c r="C192" s="7" t="s">
        <v>9</v>
      </c>
      <c r="D192" s="7" t="s">
        <v>417</v>
      </c>
      <c r="E192" s="7" t="s">
        <v>418</v>
      </c>
      <c r="F192" s="7"/>
      <c r="G192" s="7"/>
      <c r="H192" s="7"/>
      <c r="I192" s="7"/>
    </row>
    <row r="193" spans="1:9" ht="17.25">
      <c r="A193" s="7" t="str">
        <f xml:space="preserve"> "MA" &amp; LEFT(B193,3) &amp; TEXT(COUNTIF($B$2:B193,B193),"000")</f>
        <v>MAPRO113</v>
      </c>
      <c r="B193" s="7" t="s">
        <v>193</v>
      </c>
      <c r="C193" s="7" t="s">
        <v>65</v>
      </c>
      <c r="D193" s="7" t="s">
        <v>419</v>
      </c>
      <c r="E193" s="7" t="s">
        <v>420</v>
      </c>
      <c r="F193" s="7"/>
      <c r="G193" s="7"/>
      <c r="H193" s="7"/>
      <c r="I193" s="7"/>
    </row>
    <row r="194" spans="1:9" ht="36">
      <c r="A194" s="7" t="str">
        <f xml:space="preserve"> "MA" &amp; LEFT(B194,3) &amp; TEXT(COUNTIF($B$2:B194,B194),"000")</f>
        <v>MAPRO114</v>
      </c>
      <c r="B194" s="7" t="s">
        <v>193</v>
      </c>
      <c r="C194" s="7" t="s">
        <v>65</v>
      </c>
      <c r="D194" s="7" t="s">
        <v>421</v>
      </c>
      <c r="E194" s="7" t="s">
        <v>422</v>
      </c>
      <c r="F194" s="7"/>
      <c r="G194" s="7"/>
      <c r="H194" s="7"/>
      <c r="I194" s="7"/>
    </row>
    <row r="195" spans="1:9" ht="36">
      <c r="A195" s="7" t="str">
        <f xml:space="preserve"> "MA" &amp; LEFT(B195,3) &amp; TEXT(COUNTIF($B$2:B195,B195),"000")</f>
        <v>MAPRO115</v>
      </c>
      <c r="B195" s="7" t="s">
        <v>193</v>
      </c>
      <c r="C195" s="7" t="s">
        <v>9</v>
      </c>
      <c r="D195" s="7" t="s">
        <v>423</v>
      </c>
      <c r="E195" s="7" t="s">
        <v>424</v>
      </c>
      <c r="F195" s="7"/>
      <c r="G195" s="7"/>
      <c r="H195" s="7"/>
      <c r="I195" s="7"/>
    </row>
    <row r="196" spans="1:9" ht="36">
      <c r="A196" s="7" t="str">
        <f xml:space="preserve"> "MA" &amp; LEFT(B196,3) &amp; TEXT(COUNTIF($B$2:B196,B196),"000")</f>
        <v>MAPRO116</v>
      </c>
      <c r="B196" s="7" t="s">
        <v>193</v>
      </c>
      <c r="C196" s="7" t="s">
        <v>9</v>
      </c>
      <c r="D196" s="7" t="s">
        <v>425</v>
      </c>
      <c r="E196" s="7" t="s">
        <v>426</v>
      </c>
      <c r="F196" s="7"/>
      <c r="G196" s="7"/>
      <c r="H196" s="7"/>
      <c r="I196" s="7"/>
    </row>
    <row r="197" spans="1:9" ht="17.25">
      <c r="A197" s="7" t="str">
        <f xml:space="preserve"> "MA" &amp; LEFT(B197,3) &amp; TEXT(COUNTIF($B$2:B197,B197),"000")</f>
        <v>MAPRO117</v>
      </c>
      <c r="B197" s="7" t="s">
        <v>193</v>
      </c>
      <c r="C197" s="7" t="s">
        <v>65</v>
      </c>
      <c r="D197" s="7" t="s">
        <v>427</v>
      </c>
      <c r="E197" s="7" t="s">
        <v>428</v>
      </c>
      <c r="F197" s="7"/>
      <c r="G197" s="7"/>
      <c r="H197" s="7"/>
      <c r="I197" s="7"/>
    </row>
    <row r="198" spans="1:9" ht="36">
      <c r="A198" s="7" t="str">
        <f xml:space="preserve"> "MA" &amp; LEFT(B198,3) &amp; TEXT(COUNTIF($B$2:B198,B198),"000")</f>
        <v>MAPRO118</v>
      </c>
      <c r="B198" s="7" t="s">
        <v>193</v>
      </c>
      <c r="C198" s="7" t="s">
        <v>65</v>
      </c>
      <c r="D198" s="7" t="s">
        <v>429</v>
      </c>
      <c r="E198" s="7" t="s">
        <v>430</v>
      </c>
      <c r="F198" s="7"/>
      <c r="G198" s="7"/>
      <c r="H198" s="7"/>
      <c r="I198" s="7"/>
    </row>
    <row r="199" spans="1:9" ht="36">
      <c r="A199" s="7" t="str">
        <f xml:space="preserve"> "MA" &amp; LEFT(B199,3) &amp; TEXT(COUNTIF($B$2:B199,B199),"000")</f>
        <v>MAPRO119</v>
      </c>
      <c r="B199" s="7" t="s">
        <v>193</v>
      </c>
      <c r="C199" s="7" t="s">
        <v>9</v>
      </c>
      <c r="D199" s="7" t="s">
        <v>431</v>
      </c>
      <c r="E199" s="7" t="s">
        <v>432</v>
      </c>
      <c r="F199" s="7"/>
      <c r="G199" s="7"/>
      <c r="H199" s="7"/>
      <c r="I199" s="7"/>
    </row>
    <row r="200" spans="1:9" ht="36">
      <c r="A200" s="7" t="str">
        <f xml:space="preserve"> "MA" &amp; LEFT(B200,3) &amp; TEXT(COUNTIF($B$2:B200,B200),"000")</f>
        <v>MAPRO120</v>
      </c>
      <c r="B200" s="7" t="s">
        <v>193</v>
      </c>
      <c r="C200" s="7" t="s">
        <v>9</v>
      </c>
      <c r="D200" s="7" t="s">
        <v>433</v>
      </c>
      <c r="E200" s="7" t="s">
        <v>434</v>
      </c>
      <c r="F200" s="7"/>
      <c r="G200" s="7" t="s">
        <v>435</v>
      </c>
      <c r="H200" s="7"/>
      <c r="I200" s="7"/>
    </row>
    <row r="201" spans="1:9" ht="17.25">
      <c r="A201" s="7" t="str">
        <f xml:space="preserve"> "MA" &amp; LEFT(B201,3) &amp; TEXT(COUNTIF($B$2:B201,B201),"000")</f>
        <v>MAPRO121</v>
      </c>
      <c r="B201" s="7" t="s">
        <v>193</v>
      </c>
      <c r="C201" s="7" t="s">
        <v>65</v>
      </c>
      <c r="D201" s="7" t="s">
        <v>436</v>
      </c>
      <c r="E201" s="7" t="s">
        <v>437</v>
      </c>
      <c r="F201" s="7"/>
      <c r="G201" s="7"/>
      <c r="H201" s="7"/>
      <c r="I201" s="7"/>
    </row>
    <row r="202" spans="1:9" ht="36">
      <c r="A202" s="7" t="str">
        <f xml:space="preserve"> "MA" &amp; LEFT(B202,3) &amp; TEXT(COUNTIF($B$2:B202,B202),"000")</f>
        <v>MAPRO122</v>
      </c>
      <c r="B202" s="7" t="s">
        <v>193</v>
      </c>
      <c r="C202" s="7" t="s">
        <v>65</v>
      </c>
      <c r="D202" s="7" t="s">
        <v>438</v>
      </c>
      <c r="E202" s="7" t="s">
        <v>439</v>
      </c>
      <c r="F202" s="7"/>
      <c r="G202" s="7"/>
      <c r="H202" s="7"/>
      <c r="I202" s="7"/>
    </row>
    <row r="203" spans="1:9" ht="36">
      <c r="A203" s="7" t="str">
        <f xml:space="preserve"> "MA" &amp; LEFT(B203,3) &amp; TEXT(COUNTIF($B$2:B203,B203),"000")</f>
        <v>MAPRO123</v>
      </c>
      <c r="B203" s="7" t="s">
        <v>193</v>
      </c>
      <c r="C203" s="7" t="s">
        <v>9</v>
      </c>
      <c r="D203" s="7" t="s">
        <v>440</v>
      </c>
      <c r="E203" s="7" t="s">
        <v>441</v>
      </c>
      <c r="F203" s="7"/>
      <c r="G203" s="7"/>
      <c r="H203" s="7"/>
      <c r="I203" s="7"/>
    </row>
    <row r="204" spans="1:9" ht="36">
      <c r="A204" s="7" t="str">
        <f xml:space="preserve"> "MA" &amp; LEFT(B204,3) &amp; TEXT(COUNTIF($B$2:B204,B204),"000")</f>
        <v>MAPRO124</v>
      </c>
      <c r="B204" s="7" t="s">
        <v>193</v>
      </c>
      <c r="C204" s="7" t="s">
        <v>9</v>
      </c>
      <c r="D204" s="7" t="s">
        <v>442</v>
      </c>
      <c r="E204" s="7" t="s">
        <v>443</v>
      </c>
      <c r="F204" s="7"/>
      <c r="G204" s="7"/>
      <c r="H204" s="7"/>
      <c r="I204" s="7"/>
    </row>
    <row r="205" spans="1:9" ht="17.25">
      <c r="A205" s="7" t="str">
        <f xml:space="preserve"> "MA" &amp; LEFT(B205,3) &amp; TEXT(COUNTIF($B$2:B205,B205),"000")</f>
        <v>MAPRO125</v>
      </c>
      <c r="B205" s="7" t="s">
        <v>193</v>
      </c>
      <c r="C205" s="7" t="s">
        <v>65</v>
      </c>
      <c r="D205" s="7" t="s">
        <v>444</v>
      </c>
      <c r="E205" s="7" t="s">
        <v>445</v>
      </c>
      <c r="F205" s="7"/>
      <c r="G205" s="7"/>
      <c r="H205" s="7"/>
      <c r="I205" s="7"/>
    </row>
    <row r="206" spans="1:9" ht="36">
      <c r="A206" s="7" t="str">
        <f xml:space="preserve"> "MA" &amp; LEFT(B206,3) &amp; TEXT(COUNTIF($B$2:B206,B206),"000")</f>
        <v>MAPRO126</v>
      </c>
      <c r="B206" s="7" t="s">
        <v>193</v>
      </c>
      <c r="C206" s="7" t="s">
        <v>65</v>
      </c>
      <c r="D206" s="7" t="s">
        <v>446</v>
      </c>
      <c r="E206" s="7" t="s">
        <v>447</v>
      </c>
      <c r="F206" s="7"/>
      <c r="G206" s="7"/>
      <c r="H206" s="7"/>
      <c r="I206" s="7"/>
    </row>
    <row r="207" spans="1:9" ht="36">
      <c r="A207" s="7" t="str">
        <f xml:space="preserve"> "MA" &amp; LEFT(B207,3) &amp; TEXT(COUNTIF($B$2:B207,B207),"000")</f>
        <v>MAPRO127</v>
      </c>
      <c r="B207" s="7" t="s">
        <v>193</v>
      </c>
      <c r="C207" s="7" t="s">
        <v>9</v>
      </c>
      <c r="D207" s="7" t="s">
        <v>448</v>
      </c>
      <c r="E207" s="7" t="s">
        <v>449</v>
      </c>
      <c r="F207" s="7"/>
      <c r="G207" s="7"/>
      <c r="H207" s="7"/>
      <c r="I207" s="7"/>
    </row>
    <row r="208" spans="1:9" ht="36">
      <c r="A208" s="7" t="str">
        <f xml:space="preserve"> "MA" &amp; LEFT(B208,3) &amp; TEXT(COUNTIF($B$2:B208,B208),"000")</f>
        <v>MAPRO128</v>
      </c>
      <c r="B208" s="7" t="s">
        <v>193</v>
      </c>
      <c r="C208" s="7" t="s">
        <v>9</v>
      </c>
      <c r="D208" s="7" t="s">
        <v>450</v>
      </c>
      <c r="E208" s="7" t="s">
        <v>451</v>
      </c>
      <c r="F208" s="7"/>
      <c r="G208" s="7"/>
      <c r="H208" s="7"/>
      <c r="I208" s="7"/>
    </row>
    <row r="209" spans="1:9" ht="17.25">
      <c r="A209" s="7" t="str">
        <f xml:space="preserve"> "MA" &amp; LEFT(B209,3) &amp; TEXT(COUNTIF($B$2:B209,B209),"000")</f>
        <v>MAPRO129</v>
      </c>
      <c r="B209" s="7" t="s">
        <v>193</v>
      </c>
      <c r="C209" s="7" t="s">
        <v>65</v>
      </c>
      <c r="D209" s="7" t="s">
        <v>452</v>
      </c>
      <c r="E209" s="7" t="s">
        <v>453</v>
      </c>
      <c r="F209" s="7"/>
      <c r="G209" s="7"/>
      <c r="H209" s="7"/>
      <c r="I209" s="7"/>
    </row>
    <row r="210" spans="1:9" ht="36">
      <c r="A210" s="7" t="str">
        <f xml:space="preserve"> "MA" &amp; LEFT(B210,3) &amp; TEXT(COUNTIF($B$2:B210,B210),"000")</f>
        <v>MAPRO130</v>
      </c>
      <c r="B210" s="7" t="s">
        <v>193</v>
      </c>
      <c r="C210" s="7" t="s">
        <v>65</v>
      </c>
      <c r="D210" s="7" t="s">
        <v>454</v>
      </c>
      <c r="E210" s="7" t="s">
        <v>455</v>
      </c>
      <c r="F210" s="7"/>
      <c r="G210" s="7"/>
      <c r="H210" s="7"/>
      <c r="I210" s="7"/>
    </row>
    <row r="211" spans="1:9" ht="36">
      <c r="A211" s="7" t="str">
        <f xml:space="preserve"> "MA" &amp; LEFT(B211,3) &amp; TEXT(COUNTIF($B$2:B211,B211),"000")</f>
        <v>MAPRO131</v>
      </c>
      <c r="B211" s="7" t="s">
        <v>193</v>
      </c>
      <c r="C211" s="7" t="s">
        <v>9</v>
      </c>
      <c r="D211" s="7" t="s">
        <v>456</v>
      </c>
      <c r="E211" s="7" t="s">
        <v>457</v>
      </c>
      <c r="F211" s="7"/>
      <c r="G211" s="7"/>
      <c r="H211" s="7"/>
      <c r="I211" s="7"/>
    </row>
    <row r="212" spans="1:9" ht="36">
      <c r="A212" s="7" t="str">
        <f xml:space="preserve"> "MA" &amp; LEFT(B212,3) &amp; TEXT(COUNTIF($B$2:B212,B212),"000")</f>
        <v>MAPRO132</v>
      </c>
      <c r="B212" s="7" t="s">
        <v>193</v>
      </c>
      <c r="C212" s="7" t="s">
        <v>65</v>
      </c>
      <c r="D212" s="7" t="s">
        <v>458</v>
      </c>
      <c r="E212" s="7" t="s">
        <v>459</v>
      </c>
      <c r="F212" s="7"/>
      <c r="G212" s="7"/>
      <c r="H212" s="7"/>
      <c r="I212" s="7"/>
    </row>
    <row r="213" spans="1:9" ht="36">
      <c r="A213" s="7" t="str">
        <f xml:space="preserve"> "MA" &amp; LEFT(B213,3) &amp; TEXT(COUNTIF($B$2:B213,B213),"000")</f>
        <v>MAPRO133</v>
      </c>
      <c r="B213" s="7" t="s">
        <v>193</v>
      </c>
      <c r="C213" s="7" t="s">
        <v>65</v>
      </c>
      <c r="D213" s="7" t="s">
        <v>460</v>
      </c>
      <c r="E213" s="7" t="s">
        <v>461</v>
      </c>
      <c r="F213" s="7"/>
      <c r="G213" s="7"/>
      <c r="H213" s="7"/>
      <c r="I213" s="7"/>
    </row>
    <row r="214" spans="1:9" ht="36">
      <c r="A214" s="7" t="str">
        <f xml:space="preserve"> "MA" &amp; LEFT(B214,3) &amp; TEXT(COUNTIF($B$2:B214,B214),"000")</f>
        <v>MAPRO134</v>
      </c>
      <c r="B214" s="7" t="s">
        <v>193</v>
      </c>
      <c r="C214" s="7" t="s">
        <v>65</v>
      </c>
      <c r="D214" s="7" t="s">
        <v>462</v>
      </c>
      <c r="E214" s="7" t="s">
        <v>463</v>
      </c>
      <c r="F214" s="7"/>
      <c r="G214" s="7"/>
      <c r="H214" s="7"/>
      <c r="I214" s="7"/>
    </row>
    <row r="215" spans="1:9" ht="36">
      <c r="A215" s="7" t="str">
        <f xml:space="preserve"> "MA" &amp; LEFT(B215,3) &amp; TEXT(COUNTIF($B$2:B215,B215),"000")</f>
        <v>MAPRO135</v>
      </c>
      <c r="B215" s="7" t="s">
        <v>193</v>
      </c>
      <c r="C215" s="7" t="s">
        <v>65</v>
      </c>
      <c r="D215" s="7" t="s">
        <v>464</v>
      </c>
      <c r="E215" s="7" t="s">
        <v>465</v>
      </c>
      <c r="F215" s="7"/>
      <c r="G215" s="7"/>
      <c r="H215" s="7"/>
      <c r="I215" s="7"/>
    </row>
    <row r="216" spans="1:9" ht="36">
      <c r="A216" s="7" t="str">
        <f xml:space="preserve"> "MA" &amp; LEFT(B216,3) &amp; TEXT(COUNTIF($B$2:B216,B216),"000")</f>
        <v>MAREN001</v>
      </c>
      <c r="B216" s="7" t="s">
        <v>466</v>
      </c>
      <c r="C216" s="7" t="s">
        <v>65</v>
      </c>
      <c r="D216" s="7" t="s">
        <v>467</v>
      </c>
      <c r="E216" s="7" t="s">
        <v>468</v>
      </c>
      <c r="F216" s="7"/>
      <c r="G216" s="7"/>
      <c r="H216" s="7"/>
      <c r="I216" s="7"/>
    </row>
    <row r="217" spans="1:9" ht="36">
      <c r="A217" s="7" t="str">
        <f xml:space="preserve"> "MA" &amp; LEFT(B217,3) &amp; TEXT(COUNTIF($B$2:B217,B217),"000")</f>
        <v>MAREN002</v>
      </c>
      <c r="B217" s="7" t="s">
        <v>466</v>
      </c>
      <c r="C217" s="7" t="s">
        <v>65</v>
      </c>
      <c r="D217" s="7" t="s">
        <v>469</v>
      </c>
      <c r="E217" s="7" t="s">
        <v>470</v>
      </c>
      <c r="F217" s="7"/>
      <c r="G217" s="7"/>
      <c r="H217" s="7"/>
      <c r="I217" s="7"/>
    </row>
    <row r="218" spans="1:9" ht="36">
      <c r="A218" s="7" t="str">
        <f xml:space="preserve"> "MA" &amp; LEFT(B218,3) &amp; TEXT(COUNTIF($B$2:B218,B218),"000")</f>
        <v>MAREN003</v>
      </c>
      <c r="B218" s="7" t="s">
        <v>466</v>
      </c>
      <c r="C218" s="7" t="s">
        <v>65</v>
      </c>
      <c r="D218" s="7" t="s">
        <v>471</v>
      </c>
      <c r="E218" s="7" t="s">
        <v>472</v>
      </c>
      <c r="F218" s="7"/>
      <c r="G218" s="7"/>
      <c r="H218" s="7"/>
      <c r="I218" s="7"/>
    </row>
    <row r="219" spans="1:9" ht="36">
      <c r="A219" s="7" t="str">
        <f xml:space="preserve"> "MA" &amp; LEFT(B219,3) &amp; TEXT(COUNTIF($B$2:B219,B219),"000")</f>
        <v>MAREN004</v>
      </c>
      <c r="B219" s="7" t="s">
        <v>466</v>
      </c>
      <c r="C219" s="7" t="s">
        <v>65</v>
      </c>
      <c r="D219" s="7" t="s">
        <v>473</v>
      </c>
      <c r="E219" s="7" t="s">
        <v>474</v>
      </c>
      <c r="F219" s="7"/>
      <c r="G219" s="7"/>
      <c r="H219" s="7"/>
      <c r="I219" s="7"/>
    </row>
    <row r="220" spans="1:9" ht="36">
      <c r="A220" s="7" t="str">
        <f xml:space="preserve"> "MA" &amp; LEFT(B220,3) &amp; TEXT(COUNTIF($B$2:B220,B220),"000")</f>
        <v>MAREN005</v>
      </c>
      <c r="B220" s="7" t="s">
        <v>466</v>
      </c>
      <c r="C220" s="7" t="s">
        <v>65</v>
      </c>
      <c r="D220" s="7" t="s">
        <v>475</v>
      </c>
      <c r="E220" s="7" t="s">
        <v>476</v>
      </c>
      <c r="F220" s="7"/>
      <c r="G220" s="7"/>
      <c r="H220" s="7"/>
      <c r="I220" s="7"/>
    </row>
    <row r="221" spans="1:9" ht="36">
      <c r="A221" s="7" t="str">
        <f xml:space="preserve"> "MA" &amp; LEFT(B221,3) &amp; TEXT(COUNTIF($B$2:B221,B221),"000")</f>
        <v>MAREN006</v>
      </c>
      <c r="B221" s="7" t="s">
        <v>466</v>
      </c>
      <c r="C221" s="7" t="s">
        <v>65</v>
      </c>
      <c r="D221" s="7" t="s">
        <v>477</v>
      </c>
      <c r="E221" s="7" t="s">
        <v>478</v>
      </c>
      <c r="F221" s="7"/>
      <c r="G221" s="7"/>
      <c r="H221" s="7"/>
      <c r="I221" s="7"/>
    </row>
    <row r="222" spans="1:9" ht="36">
      <c r="A222" s="7" t="str">
        <f xml:space="preserve"> "MA" &amp; LEFT(B222,3) &amp; TEXT(COUNTIF($B$2:B222,B222),"000")</f>
        <v>MAREN007</v>
      </c>
      <c r="B222" s="7" t="s">
        <v>466</v>
      </c>
      <c r="C222" s="7" t="s">
        <v>65</v>
      </c>
      <c r="D222" s="7" t="s">
        <v>479</v>
      </c>
      <c r="E222" s="7" t="s">
        <v>480</v>
      </c>
      <c r="F222" s="7"/>
      <c r="G222" s="7"/>
      <c r="H222" s="7"/>
      <c r="I222" s="7"/>
    </row>
    <row r="223" spans="1:9" ht="53.25">
      <c r="A223" s="7" t="str">
        <f xml:space="preserve"> "MA" &amp; LEFT(B223,3) &amp; TEXT(COUNTIF($B$2:B223,B223),"000")</f>
        <v>MAREN008</v>
      </c>
      <c r="B223" s="7" t="s">
        <v>466</v>
      </c>
      <c r="C223" s="7" t="s">
        <v>65</v>
      </c>
      <c r="D223" s="7" t="s">
        <v>481</v>
      </c>
      <c r="E223" s="7" t="s">
        <v>482</v>
      </c>
      <c r="F223" s="7"/>
      <c r="G223" s="7"/>
      <c r="H223" s="7"/>
      <c r="I223" s="7"/>
    </row>
    <row r="224" spans="1:9" ht="36">
      <c r="A224" s="7" t="str">
        <f xml:space="preserve"> "MA" &amp; LEFT(B224,3) &amp; TEXT(COUNTIF($B$2:B224,B224),"000")</f>
        <v>MARIE001</v>
      </c>
      <c r="B224" s="7" t="s">
        <v>483</v>
      </c>
      <c r="C224" s="7" t="s">
        <v>9</v>
      </c>
      <c r="D224" s="7" t="s">
        <v>484</v>
      </c>
      <c r="E224" s="7" t="s">
        <v>485</v>
      </c>
      <c r="F224" s="7" t="s">
        <v>486</v>
      </c>
      <c r="G224" s="7"/>
      <c r="H224" s="7" t="s">
        <v>88</v>
      </c>
      <c r="I224" s="7"/>
    </row>
    <row r="225" spans="1:9" ht="17.25">
      <c r="A225" s="7" t="str">
        <f xml:space="preserve"> "MA" &amp; LEFT(B225,3) &amp; TEXT(COUNTIF($B$2:B225,B225),"000")</f>
        <v>MARIE002</v>
      </c>
      <c r="B225" s="7" t="s">
        <v>483</v>
      </c>
      <c r="C225" s="7" t="s">
        <v>9</v>
      </c>
      <c r="D225" s="7" t="s">
        <v>487</v>
      </c>
      <c r="E225" s="7" t="s">
        <v>488</v>
      </c>
      <c r="F225" s="7" t="s">
        <v>489</v>
      </c>
      <c r="G225" s="7"/>
      <c r="H225" s="7" t="s">
        <v>43</v>
      </c>
      <c r="I225" s="7"/>
    </row>
    <row r="226" spans="1:9" ht="36">
      <c r="A226" s="7" t="str">
        <f xml:space="preserve"> "MA" &amp; LEFT(B226,3) &amp; TEXT(COUNTIF($B$2:B226,B226),"000")</f>
        <v>MARIE003</v>
      </c>
      <c r="B226" s="7" t="s">
        <v>483</v>
      </c>
      <c r="C226" s="7" t="s">
        <v>20</v>
      </c>
      <c r="D226" s="7" t="s">
        <v>490</v>
      </c>
      <c r="E226" s="7" t="s">
        <v>491</v>
      </c>
      <c r="F226" s="7" t="s">
        <v>492</v>
      </c>
      <c r="G226" s="7"/>
      <c r="H226" s="7"/>
      <c r="I226" s="7"/>
    </row>
    <row r="227" spans="1:9" ht="36">
      <c r="A227" s="7" t="str">
        <f xml:space="preserve"> "MA" &amp; LEFT(B227,3) &amp; TEXT(COUNTIF($B$2:B227,B227),"000")</f>
        <v>MARIE004</v>
      </c>
      <c r="B227" s="7" t="s">
        <v>483</v>
      </c>
      <c r="C227" s="7" t="s">
        <v>65</v>
      </c>
      <c r="D227" s="7" t="s">
        <v>493</v>
      </c>
      <c r="E227" s="7" t="s">
        <v>494</v>
      </c>
      <c r="F227" s="7" t="s">
        <v>495</v>
      </c>
      <c r="G227" s="7"/>
      <c r="H227" s="7"/>
      <c r="I227" s="7"/>
    </row>
    <row r="228" spans="1:9" ht="36">
      <c r="A228" s="7" t="str">
        <f xml:space="preserve"> "MA" &amp; LEFT(B228,3) &amp; TEXT(COUNTIF($B$2:B228,B228),"000")</f>
        <v>MARIE005</v>
      </c>
      <c r="B228" s="7" t="s">
        <v>483</v>
      </c>
      <c r="C228" s="7" t="s">
        <v>20</v>
      </c>
      <c r="D228" s="7" t="s">
        <v>496</v>
      </c>
      <c r="E228" s="7" t="s">
        <v>497</v>
      </c>
      <c r="F228" s="7" t="s">
        <v>498</v>
      </c>
      <c r="G228" s="7"/>
      <c r="H228" s="7"/>
      <c r="I228" s="7"/>
    </row>
    <row r="229" spans="1:9" ht="36">
      <c r="A229" s="7" t="str">
        <f xml:space="preserve"> "MA" &amp; LEFT(B229,3) &amp; TEXT(COUNTIF($B$2:B229,B229),"000")</f>
        <v>MARIE006</v>
      </c>
      <c r="B229" s="7" t="s">
        <v>483</v>
      </c>
      <c r="C229" s="7" t="s">
        <v>65</v>
      </c>
      <c r="D229" s="7" t="s">
        <v>499</v>
      </c>
      <c r="E229" s="7" t="s">
        <v>500</v>
      </c>
      <c r="F229" s="7"/>
      <c r="G229" s="7"/>
      <c r="H229" s="7"/>
      <c r="I229" s="7"/>
    </row>
    <row r="230" spans="1:9" ht="36">
      <c r="A230" s="7" t="str">
        <f xml:space="preserve"> "MA" &amp; LEFT(B230,3) &amp; TEXT(COUNTIF($B$2:B230,B230),"000")</f>
        <v>MARIE007</v>
      </c>
      <c r="B230" s="7" t="s">
        <v>483</v>
      </c>
      <c r="C230" s="7" t="s">
        <v>20</v>
      </c>
      <c r="D230" s="7" t="s">
        <v>501</v>
      </c>
      <c r="E230" s="7" t="s">
        <v>502</v>
      </c>
      <c r="F230" s="7"/>
      <c r="G230" s="7"/>
      <c r="H230" s="7"/>
      <c r="I230" s="7"/>
    </row>
    <row r="231" spans="1:9" ht="17.25">
      <c r="A231" s="7" t="str">
        <f xml:space="preserve"> "MA" &amp; LEFT(B231,3) &amp; TEXT(COUNTIF($B$2:B231,B231),"000")</f>
        <v>MARIE008</v>
      </c>
      <c r="B231" s="7" t="s">
        <v>483</v>
      </c>
      <c r="C231" s="7" t="s">
        <v>20</v>
      </c>
      <c r="D231" s="7" t="s">
        <v>503</v>
      </c>
      <c r="E231" s="7" t="s">
        <v>504</v>
      </c>
      <c r="F231" s="7"/>
      <c r="G231" s="7"/>
      <c r="H231" s="7" t="s">
        <v>505</v>
      </c>
      <c r="I231" s="7"/>
    </row>
    <row r="232" spans="1:9" ht="17.25">
      <c r="A232" s="7" t="str">
        <f xml:space="preserve"> "MA" &amp; LEFT(B232,3) &amp; TEXT(COUNTIF($B$2:B232,B232),"000")</f>
        <v>MARIE009</v>
      </c>
      <c r="B232" s="7" t="s">
        <v>483</v>
      </c>
      <c r="C232" s="7" t="s">
        <v>9</v>
      </c>
      <c r="D232" s="7" t="s">
        <v>506</v>
      </c>
      <c r="E232" s="7" t="s">
        <v>507</v>
      </c>
      <c r="F232" s="7"/>
      <c r="G232" s="7"/>
      <c r="H232" s="7" t="s">
        <v>28</v>
      </c>
      <c r="I232" s="7"/>
    </row>
    <row r="233" spans="1:9" ht="36">
      <c r="A233" s="7" t="str">
        <f xml:space="preserve"> "MA" &amp; LEFT(B233,3) &amp; TEXT(COUNTIF($B$2:B233,B233),"000")</f>
        <v>MARIE010</v>
      </c>
      <c r="B233" s="7" t="s">
        <v>483</v>
      </c>
      <c r="C233" s="7" t="s">
        <v>9</v>
      </c>
      <c r="D233" s="7" t="s">
        <v>508</v>
      </c>
      <c r="E233" s="7" t="s">
        <v>509</v>
      </c>
      <c r="F233" s="7"/>
      <c r="G233" s="7"/>
      <c r="H233" s="7" t="s">
        <v>23</v>
      </c>
      <c r="I233" s="7"/>
    </row>
    <row r="234" spans="1:9" ht="17.25">
      <c r="A234" s="7" t="str">
        <f xml:space="preserve"> "MA" &amp; LEFT(B234,3) &amp; TEXT(COUNTIF($B$2:B234,B234),"000")</f>
        <v>MARIE011</v>
      </c>
      <c r="B234" s="7" t="s">
        <v>483</v>
      </c>
      <c r="C234" s="7" t="s">
        <v>65</v>
      </c>
      <c r="D234" s="7" t="s">
        <v>510</v>
      </c>
      <c r="E234" s="7" t="s">
        <v>511</v>
      </c>
      <c r="F234" s="7"/>
      <c r="G234" s="7"/>
      <c r="H234" s="7" t="s">
        <v>28</v>
      </c>
      <c r="I234" s="7"/>
    </row>
    <row r="235" spans="1:9" ht="17.25">
      <c r="A235" s="7" t="str">
        <f xml:space="preserve"> "MA" &amp; LEFT(B235,3) &amp; TEXT(COUNTIF($B$2:B235,B235),"000")</f>
        <v>MARIE012</v>
      </c>
      <c r="B235" s="7" t="s">
        <v>483</v>
      </c>
      <c r="C235" s="7" t="s">
        <v>9</v>
      </c>
      <c r="D235" s="7" t="s">
        <v>512</v>
      </c>
      <c r="E235" s="7" t="s">
        <v>513</v>
      </c>
      <c r="F235" s="7"/>
      <c r="G235" s="7"/>
      <c r="H235" s="7" t="s">
        <v>28</v>
      </c>
      <c r="I235" s="7"/>
    </row>
    <row r="236" spans="1:9" ht="17.25">
      <c r="A236" s="7" t="str">
        <f xml:space="preserve"> "MA" &amp; LEFT(B236,3) &amp; TEXT(COUNTIF($B$2:B236,B236),"000")</f>
        <v>MARIE013</v>
      </c>
      <c r="B236" s="7" t="s">
        <v>483</v>
      </c>
      <c r="C236" s="7" t="s">
        <v>9</v>
      </c>
      <c r="D236" s="7" t="s">
        <v>514</v>
      </c>
      <c r="E236" s="7" t="s">
        <v>515</v>
      </c>
      <c r="F236" s="7"/>
      <c r="G236" s="7"/>
      <c r="H236" s="7" t="s">
        <v>28</v>
      </c>
      <c r="I236" s="7"/>
    </row>
    <row r="237" spans="1:9" ht="36">
      <c r="A237" s="7" t="str">
        <f xml:space="preserve"> "MA" &amp; LEFT(B237,3) &amp; TEXT(COUNTIF($B$2:B237,B237),"000")</f>
        <v>MARIE014</v>
      </c>
      <c r="B237" s="7" t="s">
        <v>483</v>
      </c>
      <c r="C237" s="7" t="s">
        <v>20</v>
      </c>
      <c r="D237" s="7" t="s">
        <v>516</v>
      </c>
      <c r="E237" s="7" t="s">
        <v>517</v>
      </c>
      <c r="F237" s="7"/>
      <c r="G237" s="7" t="s">
        <v>518</v>
      </c>
      <c r="H237" s="7" t="s">
        <v>28</v>
      </c>
      <c r="I237" s="7"/>
    </row>
    <row r="238" spans="1:9" ht="36">
      <c r="A238" s="7" t="str">
        <f xml:space="preserve"> "MA" &amp; LEFT(B238,3) &amp; TEXT(COUNTIF($B$2:B238,B238),"000")</f>
        <v>MARIE015</v>
      </c>
      <c r="B238" s="7" t="s">
        <v>483</v>
      </c>
      <c r="C238" s="7" t="s">
        <v>9</v>
      </c>
      <c r="D238" s="7" t="s">
        <v>519</v>
      </c>
      <c r="E238" s="7" t="s">
        <v>520</v>
      </c>
      <c r="F238" s="7"/>
      <c r="G238" s="7"/>
      <c r="H238" s="7" t="s">
        <v>43</v>
      </c>
      <c r="I238" s="7"/>
    </row>
    <row r="239" spans="1:9" ht="17.25">
      <c r="A239" s="7" t="str">
        <f xml:space="preserve"> "MA" &amp; LEFT(B239,3) &amp; TEXT(COUNTIF($B$2:B239,B239),"000")</f>
        <v>MARIE016</v>
      </c>
      <c r="B239" s="7" t="s">
        <v>483</v>
      </c>
      <c r="C239" s="7" t="s">
        <v>9</v>
      </c>
      <c r="D239" s="7" t="s">
        <v>521</v>
      </c>
      <c r="E239" s="7" t="s">
        <v>522</v>
      </c>
      <c r="F239" s="7"/>
      <c r="G239" s="7"/>
      <c r="H239" s="7" t="s">
        <v>43</v>
      </c>
      <c r="I239" s="7"/>
    </row>
    <row r="240" spans="1:9" ht="17.25">
      <c r="A240" s="7" t="str">
        <f xml:space="preserve"> "MA" &amp; LEFT(B240,3) &amp; TEXT(COUNTIF($B$2:B240,B240),"000")</f>
        <v>MARIE017</v>
      </c>
      <c r="B240" s="7" t="s">
        <v>483</v>
      </c>
      <c r="C240" s="7" t="s">
        <v>9</v>
      </c>
      <c r="D240" s="7" t="s">
        <v>523</v>
      </c>
      <c r="E240" s="7" t="s">
        <v>524</v>
      </c>
      <c r="F240" s="7"/>
      <c r="G240" s="7"/>
      <c r="H240" s="7" t="s">
        <v>43</v>
      </c>
      <c r="I240" s="7"/>
    </row>
    <row r="241" spans="1:9" ht="17.25">
      <c r="A241" s="7" t="str">
        <f xml:space="preserve"> "MA" &amp; LEFT(B241,3) &amp; TEXT(COUNTIF($B$2:B241,B241),"000")</f>
        <v>MARIE018</v>
      </c>
      <c r="B241" s="7" t="s">
        <v>483</v>
      </c>
      <c r="C241" s="7" t="s">
        <v>9</v>
      </c>
      <c r="D241" s="7" t="s">
        <v>525</v>
      </c>
      <c r="E241" s="7" t="s">
        <v>526</v>
      </c>
      <c r="F241" s="7"/>
      <c r="G241" s="7"/>
      <c r="H241" s="7" t="s">
        <v>43</v>
      </c>
      <c r="I241" s="7"/>
    </row>
    <row r="242" spans="1:9" ht="17.25">
      <c r="A242" s="7" t="str">
        <f xml:space="preserve"> "MA" &amp; LEFT(B242,3) &amp; TEXT(COUNTIF($B$2:B242,B242),"000")</f>
        <v>MARIE019</v>
      </c>
      <c r="B242" s="7" t="s">
        <v>483</v>
      </c>
      <c r="C242" s="7" t="s">
        <v>9</v>
      </c>
      <c r="D242" s="7" t="s">
        <v>527</v>
      </c>
      <c r="E242" s="7" t="s">
        <v>528</v>
      </c>
      <c r="F242" s="7"/>
      <c r="G242" s="7"/>
      <c r="H242" s="7" t="s">
        <v>43</v>
      </c>
      <c r="I242" s="7"/>
    </row>
    <row r="243" spans="1:9" ht="17.25">
      <c r="A243" s="7" t="str">
        <f xml:space="preserve"> "MA" &amp; LEFT(B243,3) &amp; TEXT(COUNTIF($B$2:B243,B243),"000")</f>
        <v>MARIE020</v>
      </c>
      <c r="B243" s="7" t="s">
        <v>483</v>
      </c>
      <c r="C243" s="7" t="s">
        <v>9</v>
      </c>
      <c r="D243" s="7" t="s">
        <v>529</v>
      </c>
      <c r="E243" s="7" t="s">
        <v>530</v>
      </c>
      <c r="F243" s="7"/>
      <c r="G243" s="7" t="s">
        <v>531</v>
      </c>
      <c r="H243" s="7" t="s">
        <v>43</v>
      </c>
      <c r="I243" s="7"/>
    </row>
    <row r="244" spans="1:9" ht="17.25">
      <c r="A244" s="7" t="str">
        <f xml:space="preserve"> "MA" &amp; LEFT(B244,3) &amp; TEXT(COUNTIF($B$2:B244,B244),"000")</f>
        <v>MARIE021</v>
      </c>
      <c r="B244" s="7" t="s">
        <v>483</v>
      </c>
      <c r="C244" s="7" t="s">
        <v>9</v>
      </c>
      <c r="D244" s="7" t="s">
        <v>532</v>
      </c>
      <c r="E244" s="7" t="s">
        <v>533</v>
      </c>
      <c r="F244" s="7"/>
      <c r="G244" s="7" t="s">
        <v>531</v>
      </c>
      <c r="H244" s="7" t="s">
        <v>43</v>
      </c>
      <c r="I244" s="7"/>
    </row>
    <row r="245" spans="1:9" ht="17.25">
      <c r="A245" s="7" t="str">
        <f xml:space="preserve"> "MA" &amp; LEFT(B245,3) &amp; TEXT(COUNTIF($B$2:B245,B245),"000")</f>
        <v>MARIE022</v>
      </c>
      <c r="B245" s="7" t="s">
        <v>483</v>
      </c>
      <c r="C245" s="7" t="s">
        <v>9</v>
      </c>
      <c r="D245" s="7" t="s">
        <v>534</v>
      </c>
      <c r="E245" s="7" t="s">
        <v>535</v>
      </c>
      <c r="F245" s="7"/>
      <c r="G245" s="7"/>
      <c r="H245" s="7" t="s">
        <v>43</v>
      </c>
      <c r="I245" s="7"/>
    </row>
    <row r="246" spans="1:9" ht="17.25">
      <c r="A246" s="7" t="str">
        <f xml:space="preserve"> "MA" &amp; LEFT(B246,3) &amp; TEXT(COUNTIF($B$2:B246,B246),"000")</f>
        <v>MARIE023</v>
      </c>
      <c r="B246" s="7" t="s">
        <v>483</v>
      </c>
      <c r="C246" s="7" t="s">
        <v>9</v>
      </c>
      <c r="D246" s="7" t="s">
        <v>536</v>
      </c>
      <c r="E246" s="7" t="s">
        <v>537</v>
      </c>
      <c r="F246" s="7"/>
      <c r="G246" s="7"/>
      <c r="H246" s="7" t="s">
        <v>43</v>
      </c>
      <c r="I246" s="7"/>
    </row>
    <row r="247" spans="1:9" ht="17.25">
      <c r="A247" s="7" t="str">
        <f xml:space="preserve"> "MA" &amp; LEFT(B247,3) &amp; TEXT(COUNTIF($B$2:B247,B247),"000")</f>
        <v>MARIE024</v>
      </c>
      <c r="B247" s="7" t="s">
        <v>483</v>
      </c>
      <c r="C247" s="7" t="s">
        <v>9</v>
      </c>
      <c r="D247" s="7" t="s">
        <v>538</v>
      </c>
      <c r="E247" s="7" t="s">
        <v>539</v>
      </c>
      <c r="F247" s="7"/>
      <c r="G247" s="7"/>
      <c r="H247" s="7" t="s">
        <v>43</v>
      </c>
      <c r="I247" s="7"/>
    </row>
    <row r="248" spans="1:9" ht="17.25">
      <c r="A248" s="7" t="str">
        <f xml:space="preserve"> "MA" &amp; LEFT(B248,3) &amp; TEXT(COUNTIF($B$2:B248,B248),"000")</f>
        <v>MARIE025</v>
      </c>
      <c r="B248" s="7" t="s">
        <v>483</v>
      </c>
      <c r="C248" s="7" t="s">
        <v>9</v>
      </c>
      <c r="D248" s="7" t="s">
        <v>540</v>
      </c>
      <c r="E248" s="7" t="s">
        <v>541</v>
      </c>
      <c r="F248" s="7"/>
      <c r="G248" s="7"/>
      <c r="H248" s="7" t="s">
        <v>43</v>
      </c>
      <c r="I248" s="7"/>
    </row>
    <row r="249" spans="1:9" ht="17.25">
      <c r="A249" s="7" t="str">
        <f xml:space="preserve"> "MA" &amp; LEFT(B249,3) &amp; TEXT(COUNTIF($B$2:B249,B249),"000")</f>
        <v>MARIE026</v>
      </c>
      <c r="B249" s="7" t="s">
        <v>483</v>
      </c>
      <c r="C249" s="7" t="s">
        <v>9</v>
      </c>
      <c r="D249" s="7" t="s">
        <v>542</v>
      </c>
      <c r="E249" s="7" t="s">
        <v>543</v>
      </c>
      <c r="F249" s="7"/>
      <c r="G249" s="7"/>
      <c r="H249" s="7" t="s">
        <v>43</v>
      </c>
      <c r="I249" s="7"/>
    </row>
    <row r="250" spans="1:9" ht="17.25">
      <c r="A250" s="7" t="str">
        <f xml:space="preserve"> "MA" &amp; LEFT(B250,3) &amp; TEXT(COUNTIF($B$2:B250,B250),"000")</f>
        <v>MARIE027</v>
      </c>
      <c r="B250" s="7" t="s">
        <v>483</v>
      </c>
      <c r="C250" s="7" t="s">
        <v>9</v>
      </c>
      <c r="D250" s="7" t="s">
        <v>544</v>
      </c>
      <c r="E250" s="7" t="s">
        <v>545</v>
      </c>
      <c r="F250" s="7"/>
      <c r="G250" s="7"/>
      <c r="H250" s="7" t="s">
        <v>43</v>
      </c>
      <c r="I250" s="7"/>
    </row>
    <row r="251" spans="1:9" ht="17.25">
      <c r="A251" s="7" t="str">
        <f xml:space="preserve"> "MA" &amp; LEFT(B251,3) &amp; TEXT(COUNTIF($B$2:B251,B251),"000")</f>
        <v>MARIE028</v>
      </c>
      <c r="B251" s="7" t="s">
        <v>483</v>
      </c>
      <c r="C251" s="7" t="s">
        <v>9</v>
      </c>
      <c r="D251" s="7" t="s">
        <v>546</v>
      </c>
      <c r="E251" s="7" t="s">
        <v>547</v>
      </c>
      <c r="F251" s="7"/>
      <c r="G251" s="7"/>
      <c r="H251" s="7" t="s">
        <v>43</v>
      </c>
      <c r="I251" s="7"/>
    </row>
    <row r="252" spans="1:9" ht="17.25">
      <c r="A252" s="7" t="str">
        <f xml:space="preserve"> "MA" &amp; LEFT(B252,3) &amp; TEXT(COUNTIF($B$2:B252,B252),"000")</f>
        <v>MARIE029</v>
      </c>
      <c r="B252" s="7" t="s">
        <v>483</v>
      </c>
      <c r="C252" s="7" t="s">
        <v>9</v>
      </c>
      <c r="D252" s="7" t="s">
        <v>548</v>
      </c>
      <c r="E252" s="7" t="s">
        <v>549</v>
      </c>
      <c r="F252" s="7"/>
      <c r="G252" s="7"/>
      <c r="H252" s="7" t="s">
        <v>43</v>
      </c>
      <c r="I252" s="7"/>
    </row>
    <row r="253" spans="1:9" ht="17.25">
      <c r="A253" s="7" t="str">
        <f xml:space="preserve"> "MA" &amp; LEFT(B253,3) &amp; TEXT(COUNTIF($B$2:B253,B253),"000")</f>
        <v>MARIE030</v>
      </c>
      <c r="B253" s="7" t="s">
        <v>483</v>
      </c>
      <c r="C253" s="7" t="s">
        <v>9</v>
      </c>
      <c r="D253" s="7" t="s">
        <v>550</v>
      </c>
      <c r="E253" s="7" t="s">
        <v>551</v>
      </c>
      <c r="F253" s="7"/>
      <c r="G253" s="7"/>
      <c r="H253" s="7" t="s">
        <v>43</v>
      </c>
      <c r="I253" s="7"/>
    </row>
    <row r="254" spans="1:9" ht="17.25">
      <c r="A254" s="7" t="str">
        <f xml:space="preserve"> "MA" &amp; LEFT(B254,3) &amp; TEXT(COUNTIF($B$2:B254,B254),"000")</f>
        <v>MARIE031</v>
      </c>
      <c r="B254" s="7" t="s">
        <v>483</v>
      </c>
      <c r="C254" s="7" t="s">
        <v>9</v>
      </c>
      <c r="D254" s="7" t="s">
        <v>552</v>
      </c>
      <c r="E254" s="7" t="s">
        <v>553</v>
      </c>
      <c r="F254" s="7"/>
      <c r="G254" s="7"/>
      <c r="H254" s="7" t="s">
        <v>43</v>
      </c>
      <c r="I254" s="7"/>
    </row>
    <row r="255" spans="1:9" ht="17.25">
      <c r="A255" s="7" t="str">
        <f xml:space="preserve"> "MA" &amp; LEFT(B255,3) &amp; TEXT(COUNTIF($B$2:B255,B255),"000")</f>
        <v>MARIE032</v>
      </c>
      <c r="B255" s="7" t="s">
        <v>483</v>
      </c>
      <c r="C255" s="7" t="s">
        <v>9</v>
      </c>
      <c r="D255" s="7" t="s">
        <v>554</v>
      </c>
      <c r="E255" s="7" t="s">
        <v>555</v>
      </c>
      <c r="F255" s="7"/>
      <c r="G255" s="7"/>
      <c r="H255" s="7" t="s">
        <v>43</v>
      </c>
      <c r="I255" s="7"/>
    </row>
    <row r="256" spans="1:9" ht="17.25">
      <c r="A256" s="7" t="str">
        <f xml:space="preserve"> "MA" &amp; LEFT(B256,3) &amp; TEXT(COUNTIF($B$2:B256,B256),"000")</f>
        <v>MARIE033</v>
      </c>
      <c r="B256" s="7" t="s">
        <v>483</v>
      </c>
      <c r="C256" s="7" t="s">
        <v>9</v>
      </c>
      <c r="D256" s="7" t="s">
        <v>556</v>
      </c>
      <c r="E256" s="7" t="s">
        <v>557</v>
      </c>
      <c r="F256" s="7"/>
      <c r="G256" s="7"/>
      <c r="H256" s="7" t="s">
        <v>43</v>
      </c>
      <c r="I256" s="7"/>
    </row>
    <row r="257" spans="1:9" ht="17.25">
      <c r="A257" s="7" t="str">
        <f xml:space="preserve"> "MA" &amp; LEFT(B257,3) &amp; TEXT(COUNTIF($B$2:B257,B257),"000")</f>
        <v>MARIE034</v>
      </c>
      <c r="B257" s="7" t="s">
        <v>483</v>
      </c>
      <c r="C257" s="7" t="s">
        <v>9</v>
      </c>
      <c r="D257" s="7" t="s">
        <v>558</v>
      </c>
      <c r="E257" s="7" t="s">
        <v>559</v>
      </c>
      <c r="F257" s="7"/>
      <c r="G257" s="7"/>
      <c r="H257" s="7" t="s">
        <v>43</v>
      </c>
      <c r="I257" s="7"/>
    </row>
    <row r="258" spans="1:9" ht="17.25">
      <c r="A258" s="7" t="str">
        <f xml:space="preserve"> "MA" &amp; LEFT(B258,3) &amp; TEXT(COUNTIF($B$2:B258,B258),"000")</f>
        <v>MARIE035</v>
      </c>
      <c r="B258" s="7" t="s">
        <v>483</v>
      </c>
      <c r="C258" s="7" t="s">
        <v>9</v>
      </c>
      <c r="D258" s="7" t="s">
        <v>560</v>
      </c>
      <c r="E258" s="7" t="s">
        <v>561</v>
      </c>
      <c r="F258" s="7"/>
      <c r="G258" s="7"/>
      <c r="H258" s="7" t="s">
        <v>43</v>
      </c>
      <c r="I258" s="7"/>
    </row>
    <row r="259" spans="1:9" ht="17.25">
      <c r="A259" s="7" t="str">
        <f xml:space="preserve"> "MA" &amp; LEFT(B259,3) &amp; TEXT(COUNTIF($B$2:B259,B259),"000")</f>
        <v>MARIE036</v>
      </c>
      <c r="B259" s="7" t="s">
        <v>483</v>
      </c>
      <c r="C259" s="7" t="s">
        <v>9</v>
      </c>
      <c r="D259" s="7" t="s">
        <v>562</v>
      </c>
      <c r="E259" s="7" t="s">
        <v>563</v>
      </c>
      <c r="F259" s="7"/>
      <c r="G259" s="7"/>
      <c r="H259" s="7" t="s">
        <v>43</v>
      </c>
      <c r="I259" s="7"/>
    </row>
    <row r="260" spans="1:9" ht="17.25">
      <c r="A260" s="7" t="str">
        <f xml:space="preserve"> "MA" &amp; LEFT(B260,3) &amp; TEXT(COUNTIF($B$2:B260,B260),"000")</f>
        <v>MARIE037</v>
      </c>
      <c r="B260" s="7" t="s">
        <v>483</v>
      </c>
      <c r="C260" s="7" t="s">
        <v>9</v>
      </c>
      <c r="D260" s="7" t="s">
        <v>564</v>
      </c>
      <c r="E260" s="7" t="s">
        <v>565</v>
      </c>
      <c r="F260" s="7"/>
      <c r="G260" s="7"/>
      <c r="H260" s="7" t="s">
        <v>43</v>
      </c>
      <c r="I260" s="7"/>
    </row>
    <row r="261" spans="1:9" ht="17.25">
      <c r="A261" s="7" t="str">
        <f xml:space="preserve"> "MA" &amp; LEFT(B261,3) &amp; TEXT(COUNTIF($B$2:B261,B261),"000")</f>
        <v>MARIE038</v>
      </c>
      <c r="B261" s="7" t="s">
        <v>483</v>
      </c>
      <c r="C261" s="7" t="s">
        <v>65</v>
      </c>
      <c r="D261" s="7" t="s">
        <v>566</v>
      </c>
      <c r="E261" s="7" t="s">
        <v>567</v>
      </c>
      <c r="F261" s="7"/>
      <c r="G261" s="7" t="s">
        <v>568</v>
      </c>
      <c r="H261" s="7" t="s">
        <v>43</v>
      </c>
      <c r="I261" s="7"/>
    </row>
    <row r="262" spans="1:9" ht="17.25">
      <c r="A262" s="7" t="str">
        <f xml:space="preserve"> "MA" &amp; LEFT(B262,3) &amp; TEXT(COUNTIF($B$2:B262,B262),"000")</f>
        <v>MARIE039</v>
      </c>
      <c r="B262" s="7" t="s">
        <v>483</v>
      </c>
      <c r="C262" s="7" t="s">
        <v>65</v>
      </c>
      <c r="D262" s="7" t="s">
        <v>569</v>
      </c>
      <c r="E262" s="7" t="s">
        <v>570</v>
      </c>
      <c r="F262" s="7"/>
      <c r="G262" s="7" t="s">
        <v>571</v>
      </c>
      <c r="H262" s="7" t="s">
        <v>43</v>
      </c>
      <c r="I262" s="7"/>
    </row>
    <row r="263" spans="1:9" ht="36">
      <c r="A263" s="7" t="str">
        <f xml:space="preserve"> "MA" &amp; LEFT(B263,3) &amp; TEXT(COUNTIF($B$2:B263,B263),"000")</f>
        <v>MARIE040</v>
      </c>
      <c r="B263" s="7" t="s">
        <v>483</v>
      </c>
      <c r="C263" s="7" t="s">
        <v>9</v>
      </c>
      <c r="D263" s="7" t="s">
        <v>572</v>
      </c>
      <c r="E263" s="7" t="s">
        <v>573</v>
      </c>
      <c r="F263" s="7"/>
      <c r="G263" s="7"/>
      <c r="H263" s="7" t="s">
        <v>23</v>
      </c>
      <c r="I263" s="7"/>
    </row>
    <row r="264" spans="1:9" ht="36">
      <c r="A264" s="7" t="str">
        <f xml:space="preserve"> "MA" &amp; LEFT(B264,3) &amp; TEXT(COUNTIF($B$2:B264,B264),"000")</f>
        <v>MARIE041</v>
      </c>
      <c r="B264" s="7" t="s">
        <v>483</v>
      </c>
      <c r="C264" s="7" t="s">
        <v>9</v>
      </c>
      <c r="D264" s="7" t="s">
        <v>574</v>
      </c>
      <c r="E264" s="7" t="s">
        <v>575</v>
      </c>
      <c r="F264" s="7"/>
      <c r="G264" s="7"/>
      <c r="H264" s="7" t="s">
        <v>23</v>
      </c>
      <c r="I264" s="7"/>
    </row>
    <row r="265" spans="1:9" ht="17.25">
      <c r="A265" s="7" t="str">
        <f xml:space="preserve"> "MA" &amp; LEFT(B265,3) &amp; TEXT(COUNTIF($B$2:B265,B265),"000")</f>
        <v>MARIE042</v>
      </c>
      <c r="B265" s="7" t="s">
        <v>483</v>
      </c>
      <c r="C265" s="7" t="s">
        <v>9</v>
      </c>
      <c r="D265" s="7" t="s">
        <v>576</v>
      </c>
      <c r="E265" s="7" t="s">
        <v>577</v>
      </c>
      <c r="F265" s="7"/>
      <c r="G265" s="7"/>
      <c r="H265" s="7" t="s">
        <v>28</v>
      </c>
      <c r="I265" s="7"/>
    </row>
    <row r="266" spans="1:9" ht="31.5" customHeight="1">
      <c r="A266" s="7" t="str">
        <f xml:space="preserve"> "MA" &amp; LEFT(B266,3) &amp; TEXT(COUNTIF($B$2:B266,B266),"000")</f>
        <v>MARIE043</v>
      </c>
      <c r="B266" s="7" t="s">
        <v>483</v>
      </c>
      <c r="C266" s="7" t="s">
        <v>9</v>
      </c>
      <c r="D266" s="7" t="s">
        <v>578</v>
      </c>
      <c r="E266" s="7" t="s">
        <v>579</v>
      </c>
      <c r="F266" s="7"/>
      <c r="G266" s="7"/>
      <c r="H266" s="7" t="s">
        <v>23</v>
      </c>
      <c r="I266" s="7"/>
    </row>
    <row r="267" spans="1:9" ht="37.5" customHeight="1">
      <c r="A267" s="7" t="str">
        <f xml:space="preserve"> "MA" &amp; LEFT(B267,3) &amp; TEXT(COUNTIF($B$2:B267,B267),"000")</f>
        <v>MARIE044</v>
      </c>
      <c r="B267" s="7" t="s">
        <v>483</v>
      </c>
      <c r="C267" s="7" t="s">
        <v>9</v>
      </c>
      <c r="D267" s="7" t="s">
        <v>580</v>
      </c>
      <c r="E267" s="7" t="s">
        <v>581</v>
      </c>
      <c r="F267" s="7"/>
      <c r="G267" s="7"/>
      <c r="H267" s="7" t="s">
        <v>28</v>
      </c>
      <c r="I267" s="7"/>
    </row>
    <row r="268" spans="1:9" ht="17.25">
      <c r="A268" s="7" t="str">
        <f xml:space="preserve"> "MA" &amp; LEFT(B268,3) &amp; TEXT(COUNTIF($B$2:B268,B268),"000")</f>
        <v>MARIE045</v>
      </c>
      <c r="B268" s="7" t="s">
        <v>483</v>
      </c>
      <c r="C268" s="7" t="s">
        <v>9</v>
      </c>
      <c r="D268" s="7" t="s">
        <v>582</v>
      </c>
      <c r="E268" s="7" t="s">
        <v>583</v>
      </c>
      <c r="F268" s="7"/>
      <c r="G268" s="7"/>
      <c r="H268" s="7" t="s">
        <v>28</v>
      </c>
      <c r="I268" s="7"/>
    </row>
    <row r="269" spans="1:9" ht="17.25">
      <c r="A269" s="7" t="str">
        <f xml:space="preserve"> "MA" &amp; LEFT(B269,3) &amp; TEXT(COUNTIF($B$2:B269,B269),"000")</f>
        <v>MARIE046</v>
      </c>
      <c r="B269" s="7" t="s">
        <v>483</v>
      </c>
      <c r="C269" s="7" t="s">
        <v>9</v>
      </c>
      <c r="D269" s="7" t="s">
        <v>584</v>
      </c>
      <c r="E269" s="7" t="s">
        <v>585</v>
      </c>
      <c r="F269" s="7"/>
      <c r="G269" s="7"/>
      <c r="H269" s="7" t="s">
        <v>505</v>
      </c>
      <c r="I269" s="7"/>
    </row>
    <row r="270" spans="1:9" ht="36">
      <c r="A270" s="7" t="str">
        <f xml:space="preserve"> "MA" &amp; LEFT(B270,3) &amp; TEXT(COUNTIF($B$2:B270,B270),"000")</f>
        <v>MARIE047</v>
      </c>
      <c r="B270" s="7" t="s">
        <v>483</v>
      </c>
      <c r="C270" s="7" t="s">
        <v>9</v>
      </c>
      <c r="D270" s="7" t="s">
        <v>586</v>
      </c>
      <c r="E270" s="7" t="s">
        <v>587</v>
      </c>
      <c r="F270" s="7"/>
      <c r="G270" s="7"/>
      <c r="H270" s="7" t="s">
        <v>23</v>
      </c>
      <c r="I270" s="7"/>
    </row>
    <row r="271" spans="1:9" ht="36" customHeight="1">
      <c r="A271" s="7" t="str">
        <f xml:space="preserve"> "MA" &amp; LEFT(B271,3) &amp; TEXT(COUNTIF($B$2:B271,B271),"000")</f>
        <v>MARIE048</v>
      </c>
      <c r="B271" s="7" t="s">
        <v>483</v>
      </c>
      <c r="C271" s="7" t="s">
        <v>9</v>
      </c>
      <c r="D271" s="7" t="s">
        <v>588</v>
      </c>
      <c r="E271" s="7" t="s">
        <v>589</v>
      </c>
      <c r="F271" s="7"/>
      <c r="G271" s="7"/>
      <c r="H271" s="7" t="s">
        <v>23</v>
      </c>
      <c r="I271" s="7"/>
    </row>
    <row r="272" spans="1:9" ht="30" customHeight="1">
      <c r="A272" s="7" t="str">
        <f xml:space="preserve"> "MA" &amp; LEFT(B272,3) &amp; TEXT(COUNTIF($B$2:B272,B272),"000")</f>
        <v>MARIE049</v>
      </c>
      <c r="B272" s="7" t="s">
        <v>483</v>
      </c>
      <c r="C272" s="7" t="s">
        <v>9</v>
      </c>
      <c r="D272" s="7" t="s">
        <v>590</v>
      </c>
      <c r="E272" s="7" t="s">
        <v>591</v>
      </c>
      <c r="F272" s="7"/>
      <c r="G272" s="7"/>
      <c r="H272" s="7" t="s">
        <v>23</v>
      </c>
      <c r="I272" s="7"/>
    </row>
    <row r="273" spans="1:9" ht="33" customHeight="1">
      <c r="A273" s="7" t="str">
        <f xml:space="preserve"> "MA" &amp; LEFT(B273,3) &amp; TEXT(COUNTIF($B$2:B273,B273),"000")</f>
        <v>MARIE050</v>
      </c>
      <c r="B273" s="7" t="s">
        <v>483</v>
      </c>
      <c r="C273" s="7" t="s">
        <v>20</v>
      </c>
      <c r="D273" s="7" t="s">
        <v>592</v>
      </c>
      <c r="E273" s="7" t="s">
        <v>593</v>
      </c>
      <c r="F273" s="7"/>
      <c r="G273" s="7"/>
      <c r="H273" s="7" t="s">
        <v>16</v>
      </c>
      <c r="I273" s="7"/>
    </row>
    <row r="274" spans="1:9" ht="17.25">
      <c r="A274" s="7" t="str">
        <f xml:space="preserve"> "MA" &amp; LEFT(B274,3) &amp; TEXT(COUNTIF($B$2:B274,B274),"000")</f>
        <v>MARIE051</v>
      </c>
      <c r="B274" s="7" t="s">
        <v>483</v>
      </c>
      <c r="C274" s="7" t="s">
        <v>9</v>
      </c>
      <c r="D274" s="7" t="s">
        <v>594</v>
      </c>
      <c r="E274" s="7" t="s">
        <v>595</v>
      </c>
      <c r="F274" s="7"/>
      <c r="G274" s="7"/>
      <c r="H274" s="7"/>
      <c r="I274" s="7"/>
    </row>
    <row r="275" spans="1:9" ht="17.25">
      <c r="A275" s="7" t="str">
        <f xml:space="preserve"> "MA" &amp; LEFT(B275,3) &amp; TEXT(COUNTIF($B$2:B275,B275),"000")</f>
        <v>MARIE052</v>
      </c>
      <c r="B275" s="7" t="s">
        <v>483</v>
      </c>
      <c r="C275" s="7" t="s">
        <v>65</v>
      </c>
      <c r="D275" s="7" t="s">
        <v>596</v>
      </c>
      <c r="E275" s="7" t="s">
        <v>597</v>
      </c>
      <c r="F275" s="7"/>
      <c r="G275" s="7"/>
      <c r="H275" s="7" t="s">
        <v>43</v>
      </c>
      <c r="I275" s="7"/>
    </row>
    <row r="276" spans="1:9" ht="36">
      <c r="A276" s="7" t="str">
        <f xml:space="preserve"> "MA" &amp; LEFT(B276,3) &amp; TEXT(COUNTIF($B$2:B276,B276),"000")</f>
        <v>MARIE053</v>
      </c>
      <c r="B276" s="7" t="s">
        <v>483</v>
      </c>
      <c r="C276" s="7" t="s">
        <v>9</v>
      </c>
      <c r="D276" s="7" t="s">
        <v>598</v>
      </c>
      <c r="E276" s="7" t="s">
        <v>599</v>
      </c>
      <c r="F276" s="7"/>
      <c r="G276" s="7"/>
      <c r="H276" s="7" t="s">
        <v>28</v>
      </c>
      <c r="I276" s="7"/>
    </row>
    <row r="277" spans="1:9" ht="34.5" customHeight="1">
      <c r="A277" s="7" t="str">
        <f xml:space="preserve"> "MA" &amp; LEFT(B277,3) &amp; TEXT(COUNTIF($B$2:B277,B277),"000")</f>
        <v>MARIE054</v>
      </c>
      <c r="B277" s="7" t="s">
        <v>483</v>
      </c>
      <c r="C277" s="7" t="s">
        <v>65</v>
      </c>
      <c r="D277" s="7" t="s">
        <v>600</v>
      </c>
      <c r="E277" s="7" t="s">
        <v>601</v>
      </c>
      <c r="F277" s="7"/>
      <c r="G277" s="7"/>
      <c r="H277" s="7" t="s">
        <v>28</v>
      </c>
      <c r="I277" s="7"/>
    </row>
    <row r="278" spans="1:9" ht="30.75" customHeight="1">
      <c r="A278" s="7" t="str">
        <f xml:space="preserve"> "MA" &amp; LEFT(B278,3) &amp; TEXT(COUNTIF($B$2:B278,B278),"000")</f>
        <v>MARIE055</v>
      </c>
      <c r="B278" s="7" t="s">
        <v>483</v>
      </c>
      <c r="C278" s="7" t="s">
        <v>65</v>
      </c>
      <c r="D278" s="7" t="s">
        <v>602</v>
      </c>
      <c r="E278" s="7" t="s">
        <v>603</v>
      </c>
      <c r="F278" s="7"/>
      <c r="G278" s="7"/>
      <c r="H278" s="7" t="s">
        <v>28</v>
      </c>
      <c r="I278" s="7"/>
    </row>
    <row r="279" spans="1:9" ht="36">
      <c r="A279" s="7" t="str">
        <f xml:space="preserve"> "MA" &amp; LEFT(B279,3) &amp; TEXT(COUNTIF($B$2:B279,B279),"000")</f>
        <v>MARIE056</v>
      </c>
      <c r="B279" s="7" t="s">
        <v>483</v>
      </c>
      <c r="C279" s="7" t="s">
        <v>65</v>
      </c>
      <c r="D279" s="7" t="s">
        <v>604</v>
      </c>
      <c r="E279" s="7" t="s">
        <v>605</v>
      </c>
      <c r="F279" s="7"/>
      <c r="G279" s="7"/>
      <c r="H279" s="7" t="s">
        <v>28</v>
      </c>
      <c r="I279" s="7"/>
    </row>
    <row r="280" spans="1:9" ht="36">
      <c r="A280" s="7" t="str">
        <f xml:space="preserve"> "MA" &amp; LEFT(B280,3) &amp; TEXT(COUNTIF($B$2:B280,B280),"000")</f>
        <v>MARIE057</v>
      </c>
      <c r="B280" s="7" t="s">
        <v>483</v>
      </c>
      <c r="C280" s="7" t="s">
        <v>65</v>
      </c>
      <c r="D280" s="7" t="s">
        <v>606</v>
      </c>
      <c r="E280" s="7" t="s">
        <v>607</v>
      </c>
      <c r="F280" s="7"/>
      <c r="G280" s="7"/>
      <c r="H280" s="7" t="s">
        <v>28</v>
      </c>
      <c r="I280" s="7"/>
    </row>
    <row r="281" spans="1:9" ht="36">
      <c r="A281" s="7" t="str">
        <f xml:space="preserve"> "MA" &amp; LEFT(B281,3) &amp; TEXT(COUNTIF($B$2:B281,B281),"000")</f>
        <v>MARIE058</v>
      </c>
      <c r="B281" s="7" t="s">
        <v>483</v>
      </c>
      <c r="C281" s="7" t="s">
        <v>65</v>
      </c>
      <c r="D281" s="7" t="s">
        <v>608</v>
      </c>
      <c r="E281" s="7" t="s">
        <v>609</v>
      </c>
      <c r="F281" s="7"/>
      <c r="G281" s="7"/>
      <c r="H281" s="7" t="s">
        <v>28</v>
      </c>
      <c r="I281" s="7"/>
    </row>
    <row r="282" spans="1:9" ht="36">
      <c r="A282" s="7" t="str">
        <f xml:space="preserve"> "MA" &amp; LEFT(B282,3) &amp; TEXT(COUNTIF($B$2:B282,B282),"000")</f>
        <v>MARIE059</v>
      </c>
      <c r="B282" s="7" t="s">
        <v>483</v>
      </c>
      <c r="C282" s="7" t="s">
        <v>65</v>
      </c>
      <c r="D282" s="7" t="s">
        <v>610</v>
      </c>
      <c r="E282" s="7" t="s">
        <v>611</v>
      </c>
      <c r="F282" s="7"/>
      <c r="G282" s="7"/>
      <c r="H282" s="7" t="s">
        <v>28</v>
      </c>
      <c r="I282" s="7"/>
    </row>
    <row r="283" spans="1:9" ht="36">
      <c r="A283" s="7" t="str">
        <f xml:space="preserve"> "MA" &amp; LEFT(B283,3) &amp; TEXT(COUNTIF($B$2:B283,B283),"000")</f>
        <v>MARIE060</v>
      </c>
      <c r="B283" s="7" t="s">
        <v>483</v>
      </c>
      <c r="C283" s="7" t="s">
        <v>65</v>
      </c>
      <c r="D283" s="7" t="s">
        <v>612</v>
      </c>
      <c r="E283" s="7" t="s">
        <v>613</v>
      </c>
      <c r="F283" s="7"/>
      <c r="G283" s="7"/>
      <c r="H283" s="7" t="s">
        <v>28</v>
      </c>
      <c r="I283" s="7"/>
    </row>
    <row r="284" spans="1:9" ht="17.25">
      <c r="A284" s="7" t="str">
        <f xml:space="preserve"> "MA" &amp; LEFT(B284,3) &amp; TEXT(COUNTIF($B$2:B284,B284),"000")</f>
        <v>MARIE061</v>
      </c>
      <c r="B284" s="7" t="s">
        <v>483</v>
      </c>
      <c r="C284" s="7" t="s">
        <v>65</v>
      </c>
      <c r="D284" s="7" t="s">
        <v>614</v>
      </c>
      <c r="E284" s="7" t="s">
        <v>615</v>
      </c>
      <c r="F284" s="7"/>
      <c r="G284" s="7"/>
      <c r="H284" s="7" t="s">
        <v>28</v>
      </c>
      <c r="I284" s="7"/>
    </row>
    <row r="285" spans="1:9" ht="17.25">
      <c r="A285" s="7" t="str">
        <f xml:space="preserve"> "MA" &amp; LEFT(B285,3) &amp; TEXT(COUNTIF($B$2:B285,B285),"000")</f>
        <v>MARIE062</v>
      </c>
      <c r="B285" s="7" t="s">
        <v>483</v>
      </c>
      <c r="C285" s="7" t="s">
        <v>65</v>
      </c>
      <c r="D285" s="7" t="s">
        <v>616</v>
      </c>
      <c r="E285" s="7" t="s">
        <v>617</v>
      </c>
      <c r="F285" s="7"/>
      <c r="G285" s="7"/>
      <c r="H285" s="7" t="s">
        <v>28</v>
      </c>
      <c r="I285" s="7"/>
    </row>
    <row r="286" spans="1:9" ht="17.25">
      <c r="A286" s="7" t="str">
        <f xml:space="preserve"> "MA" &amp; LEFT(B286,3) &amp; TEXT(COUNTIF($B$2:B286,B286),"000")</f>
        <v>MARIE063</v>
      </c>
      <c r="B286" s="7" t="s">
        <v>483</v>
      </c>
      <c r="C286" s="7" t="s">
        <v>65</v>
      </c>
      <c r="D286" s="7" t="s">
        <v>618</v>
      </c>
      <c r="E286" s="7" t="s">
        <v>619</v>
      </c>
      <c r="F286" s="7"/>
      <c r="G286" s="7"/>
      <c r="H286" s="7" t="s">
        <v>28</v>
      </c>
      <c r="I286" s="7"/>
    </row>
    <row r="287" spans="1:9" ht="17.25">
      <c r="A287" s="7" t="str">
        <f xml:space="preserve"> "MA" &amp; LEFT(B287,3) &amp; TEXT(COUNTIF($B$2:B287,B287),"000")</f>
        <v>MARIE064</v>
      </c>
      <c r="B287" s="7" t="s">
        <v>483</v>
      </c>
      <c r="C287" s="7" t="s">
        <v>65</v>
      </c>
      <c r="D287" s="7" t="s">
        <v>620</v>
      </c>
      <c r="E287" s="7" t="s">
        <v>621</v>
      </c>
      <c r="F287" s="7"/>
      <c r="G287" s="7"/>
      <c r="H287" s="7" t="s">
        <v>28</v>
      </c>
      <c r="I287" s="7"/>
    </row>
    <row r="288" spans="1:9" ht="17.25">
      <c r="A288" s="7" t="str">
        <f xml:space="preserve"> "MA" &amp; LEFT(B288,3) &amp; TEXT(COUNTIF($B$2:B288,B288),"000")</f>
        <v>MARIE065</v>
      </c>
      <c r="B288" s="7" t="s">
        <v>483</v>
      </c>
      <c r="C288" s="7" t="s">
        <v>65</v>
      </c>
      <c r="D288" s="7" t="s">
        <v>622</v>
      </c>
      <c r="E288" s="7" t="s">
        <v>623</v>
      </c>
      <c r="F288" s="7"/>
      <c r="G288" s="7"/>
      <c r="H288" s="7" t="s">
        <v>28</v>
      </c>
      <c r="I288" s="7"/>
    </row>
    <row r="289" spans="1:9" ht="36">
      <c r="A289" s="7" t="str">
        <f xml:space="preserve"> "MA" &amp; LEFT(B289,3) &amp; TEXT(COUNTIF($B$2:B289,B289),"000")</f>
        <v>MARIE066</v>
      </c>
      <c r="B289" s="7" t="s">
        <v>483</v>
      </c>
      <c r="C289" s="7" t="s">
        <v>65</v>
      </c>
      <c r="D289" s="7" t="s">
        <v>624</v>
      </c>
      <c r="E289" s="7" t="s">
        <v>625</v>
      </c>
      <c r="F289" s="7"/>
      <c r="G289" s="7"/>
      <c r="H289" s="7" t="s">
        <v>28</v>
      </c>
      <c r="I289" s="7"/>
    </row>
    <row r="290" spans="1:9" ht="36">
      <c r="A290" s="7" t="str">
        <f xml:space="preserve"> "MA" &amp; LEFT(B290,3) &amp; TEXT(COUNTIF($B$2:B290,B290),"000")</f>
        <v>MARIE067</v>
      </c>
      <c r="B290" s="7" t="s">
        <v>483</v>
      </c>
      <c r="C290" s="7" t="s">
        <v>65</v>
      </c>
      <c r="D290" s="7" t="s">
        <v>626</v>
      </c>
      <c r="E290" s="7" t="s">
        <v>627</v>
      </c>
      <c r="F290" s="7"/>
      <c r="G290" s="7"/>
      <c r="H290" s="7" t="s">
        <v>28</v>
      </c>
      <c r="I290" s="7"/>
    </row>
    <row r="291" spans="1:9" ht="36">
      <c r="A291" s="7" t="str">
        <f xml:space="preserve"> "MA" &amp; LEFT(B291,3) &amp; TEXT(COUNTIF($B$2:B291,B291),"000")</f>
        <v>MARIE068</v>
      </c>
      <c r="B291" s="7" t="s">
        <v>483</v>
      </c>
      <c r="C291" s="7" t="s">
        <v>65</v>
      </c>
      <c r="D291" s="7" t="s">
        <v>628</v>
      </c>
      <c r="E291" s="7" t="s">
        <v>629</v>
      </c>
      <c r="F291" s="7"/>
      <c r="G291" s="7"/>
      <c r="H291" s="7" t="s">
        <v>28</v>
      </c>
      <c r="I291" s="7"/>
    </row>
    <row r="292" spans="1:9" ht="17.25">
      <c r="A292" s="7" t="str">
        <f xml:space="preserve"> "MA" &amp; LEFT(B292,3) &amp; TEXT(COUNTIF($B$2:B292,B292),"000")</f>
        <v>MARIE069</v>
      </c>
      <c r="B292" s="7" t="s">
        <v>483</v>
      </c>
      <c r="C292" s="7" t="s">
        <v>65</v>
      </c>
      <c r="D292" s="7" t="s">
        <v>630</v>
      </c>
      <c r="E292" s="7" t="s">
        <v>631</v>
      </c>
      <c r="F292" s="7"/>
      <c r="G292" s="7"/>
      <c r="H292" s="7" t="s">
        <v>28</v>
      </c>
      <c r="I292" s="7"/>
    </row>
    <row r="293" spans="1:9" ht="17.25">
      <c r="A293" s="7" t="str">
        <f xml:space="preserve"> "MA" &amp; LEFT(B293,3) &amp; TEXT(COUNTIF($B$2:B293,B293),"000")</f>
        <v>MARIE070</v>
      </c>
      <c r="B293" s="7" t="s">
        <v>483</v>
      </c>
      <c r="C293" s="7" t="s">
        <v>65</v>
      </c>
      <c r="D293" s="7" t="s">
        <v>632</v>
      </c>
      <c r="E293" s="7" t="s">
        <v>633</v>
      </c>
      <c r="F293" s="7"/>
      <c r="G293" s="7"/>
      <c r="H293" s="7" t="s">
        <v>28</v>
      </c>
      <c r="I293" s="7"/>
    </row>
    <row r="294" spans="1:9" ht="17.25">
      <c r="A294" s="7" t="str">
        <f xml:space="preserve"> "MA" &amp; LEFT(B294,3) &amp; TEXT(COUNTIF($B$2:B294,B294),"000")</f>
        <v>MARIE071</v>
      </c>
      <c r="B294" s="7" t="s">
        <v>483</v>
      </c>
      <c r="C294" s="7" t="s">
        <v>65</v>
      </c>
      <c r="D294" s="7" t="s">
        <v>634</v>
      </c>
      <c r="E294" s="7" t="s">
        <v>635</v>
      </c>
      <c r="F294" s="7"/>
      <c r="G294" s="7"/>
      <c r="H294" s="7" t="s">
        <v>28</v>
      </c>
      <c r="I294" s="7"/>
    </row>
    <row r="295" spans="1:9" ht="17.25">
      <c r="A295" s="7" t="str">
        <f xml:space="preserve"> "MA" &amp; LEFT(B295,3) &amp; TEXT(COUNTIF($B$2:B295,B295),"000")</f>
        <v>MARIE072</v>
      </c>
      <c r="B295" s="7" t="s">
        <v>483</v>
      </c>
      <c r="C295" s="7" t="s">
        <v>65</v>
      </c>
      <c r="D295" s="7" t="s">
        <v>636</v>
      </c>
      <c r="E295" s="7" t="s">
        <v>637</v>
      </c>
      <c r="F295" s="7"/>
      <c r="G295" s="7"/>
      <c r="H295" s="7" t="s">
        <v>28</v>
      </c>
      <c r="I295" s="7"/>
    </row>
    <row r="296" spans="1:9" ht="36">
      <c r="A296" s="7" t="str">
        <f xml:space="preserve"> "MA" &amp; LEFT(B296,3) &amp; TEXT(COUNTIF($B$2:B296,B296),"000")</f>
        <v>MARIE073</v>
      </c>
      <c r="B296" s="7" t="s">
        <v>483</v>
      </c>
      <c r="C296" s="7" t="s">
        <v>65</v>
      </c>
      <c r="D296" s="7" t="s">
        <v>638</v>
      </c>
      <c r="E296" s="7" t="s">
        <v>639</v>
      </c>
      <c r="F296" s="7"/>
      <c r="G296" s="7"/>
      <c r="H296" s="7" t="s">
        <v>28</v>
      </c>
      <c r="I296" s="7"/>
    </row>
    <row r="297" spans="1:9" ht="36">
      <c r="A297" s="7" t="str">
        <f xml:space="preserve"> "MA" &amp; LEFT(B297,3) &amp; TEXT(COUNTIF($B$2:B297,B297),"000")</f>
        <v>MARIE074</v>
      </c>
      <c r="B297" s="7" t="s">
        <v>483</v>
      </c>
      <c r="C297" s="7" t="s">
        <v>65</v>
      </c>
      <c r="D297" s="7" t="s">
        <v>640</v>
      </c>
      <c r="E297" s="7" t="s">
        <v>641</v>
      </c>
      <c r="F297" s="7"/>
      <c r="G297" s="7"/>
      <c r="H297" s="7" t="s">
        <v>28</v>
      </c>
      <c r="I297" s="7"/>
    </row>
    <row r="298" spans="1:9" ht="36">
      <c r="A298" s="7" t="str">
        <f xml:space="preserve"> "MA" &amp; LEFT(B298,3) &amp; TEXT(COUNTIF($B$2:B298,B298),"000")</f>
        <v>MARIE075</v>
      </c>
      <c r="B298" s="7" t="s">
        <v>483</v>
      </c>
      <c r="C298" s="7" t="s">
        <v>65</v>
      </c>
      <c r="D298" s="7" t="s">
        <v>642</v>
      </c>
      <c r="E298" s="7" t="s">
        <v>643</v>
      </c>
      <c r="F298" s="7"/>
      <c r="G298" s="7"/>
      <c r="H298" s="7" t="s">
        <v>28</v>
      </c>
      <c r="I298" s="7"/>
    </row>
    <row r="299" spans="1:9" ht="36">
      <c r="A299" s="7" t="str">
        <f xml:space="preserve"> "MA" &amp; LEFT(B299,3) &amp; TEXT(COUNTIF($B$2:B299,B299),"000")</f>
        <v>MARIE076</v>
      </c>
      <c r="B299" s="7" t="s">
        <v>483</v>
      </c>
      <c r="C299" s="7" t="s">
        <v>65</v>
      </c>
      <c r="D299" s="7" t="s">
        <v>644</v>
      </c>
      <c r="E299" s="7" t="s">
        <v>645</v>
      </c>
      <c r="F299" s="7"/>
      <c r="G299" s="7"/>
      <c r="H299" s="7" t="s">
        <v>28</v>
      </c>
      <c r="I299" s="7"/>
    </row>
    <row r="300" spans="1:9" ht="36">
      <c r="A300" s="7" t="str">
        <f xml:space="preserve"> "MA" &amp; LEFT(B300,3) &amp; TEXT(COUNTIF($B$2:B300,B300),"000")</f>
        <v>MARIE077</v>
      </c>
      <c r="B300" s="7" t="s">
        <v>483</v>
      </c>
      <c r="C300" s="7" t="s">
        <v>9</v>
      </c>
      <c r="D300" s="7" t="s">
        <v>646</v>
      </c>
      <c r="E300" s="7" t="s">
        <v>647</v>
      </c>
      <c r="F300" s="7"/>
      <c r="G300" s="7"/>
      <c r="H300" s="7" t="s">
        <v>28</v>
      </c>
      <c r="I300" s="7"/>
    </row>
    <row r="301" spans="1:9" ht="34.5" customHeight="1">
      <c r="A301" s="7" t="str">
        <f xml:space="preserve"> "MA" &amp; LEFT(B301,3) &amp; TEXT(COUNTIF($B$2:B301,B301),"000")</f>
        <v>MARIE078</v>
      </c>
      <c r="B301" s="7" t="s">
        <v>483</v>
      </c>
      <c r="C301" s="7" t="s">
        <v>9</v>
      </c>
      <c r="D301" s="7" t="s">
        <v>648</v>
      </c>
      <c r="E301" s="7" t="s">
        <v>649</v>
      </c>
      <c r="F301" s="7"/>
      <c r="G301" s="7"/>
      <c r="H301" s="7" t="s">
        <v>28</v>
      </c>
      <c r="I301" s="7"/>
    </row>
    <row r="302" spans="1:9" ht="36">
      <c r="A302" s="7" t="str">
        <f xml:space="preserve"> "MA" &amp; LEFT(B302,3) &amp; TEXT(COUNTIF($B$2:B302,B302),"000")</f>
        <v>MARIE079</v>
      </c>
      <c r="B302" s="7" t="s">
        <v>483</v>
      </c>
      <c r="C302" s="7" t="s">
        <v>9</v>
      </c>
      <c r="D302" s="7" t="s">
        <v>650</v>
      </c>
      <c r="E302" s="7" t="s">
        <v>651</v>
      </c>
      <c r="F302" s="7"/>
      <c r="G302" s="7"/>
      <c r="H302" s="7" t="s">
        <v>28</v>
      </c>
      <c r="I302" s="7"/>
    </row>
    <row r="303" spans="1:9" ht="36">
      <c r="A303" s="7" t="str">
        <f xml:space="preserve"> "MA" &amp; LEFT(B303,3) &amp; TEXT(COUNTIF($B$2:B303,B303),"000")</f>
        <v>MARIE080</v>
      </c>
      <c r="B303" s="7" t="s">
        <v>483</v>
      </c>
      <c r="C303" s="7" t="s">
        <v>9</v>
      </c>
      <c r="D303" s="7" t="s">
        <v>652</v>
      </c>
      <c r="E303" s="7" t="s">
        <v>653</v>
      </c>
      <c r="F303" s="7"/>
      <c r="G303" s="7"/>
      <c r="H303" s="7" t="s">
        <v>28</v>
      </c>
      <c r="I303" s="7"/>
    </row>
    <row r="304" spans="1:9" ht="17.25">
      <c r="A304" s="7" t="str">
        <f xml:space="preserve"> "MA" &amp; LEFT(B304,3) &amp; TEXT(COUNTIF($B$2:B304,B304),"000")</f>
        <v>MARIQ001</v>
      </c>
      <c r="B304" s="7" t="s">
        <v>654</v>
      </c>
      <c r="C304" s="7" t="s">
        <v>65</v>
      </c>
      <c r="D304" s="7" t="s">
        <v>655</v>
      </c>
      <c r="E304" s="7" t="s">
        <v>656</v>
      </c>
      <c r="F304" s="7"/>
      <c r="G304" s="7" t="s">
        <v>518</v>
      </c>
      <c r="H304" s="7"/>
      <c r="I304" s="7"/>
    </row>
    <row r="305" spans="1:9" ht="17.25">
      <c r="A305" s="7" t="str">
        <f xml:space="preserve"> "MA" &amp; LEFT(B305,3) &amp; TEXT(COUNTIF($B$2:B305,B305),"000")</f>
        <v>MARIQ002</v>
      </c>
      <c r="B305" s="7" t="s">
        <v>654</v>
      </c>
      <c r="C305" s="7" t="s">
        <v>65</v>
      </c>
      <c r="D305" s="7" t="s">
        <v>657</v>
      </c>
      <c r="E305" s="7" t="s">
        <v>658</v>
      </c>
      <c r="F305" s="7"/>
      <c r="G305" s="7"/>
      <c r="H305" s="7"/>
      <c r="I305" s="7"/>
    </row>
    <row r="306" spans="1:9" ht="17.25">
      <c r="A306" s="7" t="str">
        <f xml:space="preserve"> "MA" &amp; LEFT(B306,3) &amp; TEXT(COUNTIF($B$2:B306,B306),"000")</f>
        <v>MARIQ003</v>
      </c>
      <c r="B306" s="7" t="s">
        <v>654</v>
      </c>
      <c r="C306" s="7" t="s">
        <v>65</v>
      </c>
      <c r="D306" s="7" t="s">
        <v>659</v>
      </c>
      <c r="E306" s="7" t="s">
        <v>660</v>
      </c>
      <c r="F306" s="7"/>
      <c r="G306" s="7"/>
      <c r="H306" s="7" t="s">
        <v>28</v>
      </c>
      <c r="I306" s="7"/>
    </row>
    <row r="307" spans="1:9" ht="17.25">
      <c r="A307" s="7" t="str">
        <f xml:space="preserve"> "MA" &amp; LEFT(B307,3) &amp; TEXT(COUNTIF($B$2:B307,B307),"000")</f>
        <v>MARIQ004</v>
      </c>
      <c r="B307" s="7" t="s">
        <v>654</v>
      </c>
      <c r="C307" s="7" t="s">
        <v>9</v>
      </c>
      <c r="D307" s="7" t="s">
        <v>661</v>
      </c>
      <c r="E307" s="7" t="s">
        <v>662</v>
      </c>
      <c r="F307" s="7"/>
      <c r="G307" s="7"/>
      <c r="H307" s="7" t="s">
        <v>28</v>
      </c>
      <c r="I307" s="7"/>
    </row>
    <row r="308" spans="1:9" ht="31.5" customHeight="1">
      <c r="A308" s="7" t="str">
        <f xml:space="preserve"> "MA" &amp; LEFT(B308,3) &amp; TEXT(COUNTIF($B$2:B308,B308),"000")</f>
        <v>MARIQ005</v>
      </c>
      <c r="B308" s="7" t="s">
        <v>654</v>
      </c>
      <c r="C308" s="7" t="s">
        <v>9</v>
      </c>
      <c r="D308" s="7" t="s">
        <v>663</v>
      </c>
      <c r="E308" s="7" t="s">
        <v>664</v>
      </c>
      <c r="F308" s="7"/>
      <c r="G308" s="7"/>
      <c r="H308" s="7" t="s">
        <v>28</v>
      </c>
      <c r="I308" s="7"/>
    </row>
    <row r="309" spans="1:9" ht="36">
      <c r="A309" s="7" t="str">
        <f xml:space="preserve"> "MA" &amp; LEFT(B309,3) &amp; TEXT(COUNTIF($B$2:B309,B309),"000")</f>
        <v>MARIQ006</v>
      </c>
      <c r="B309" s="7" t="s">
        <v>654</v>
      </c>
      <c r="C309" s="7" t="s">
        <v>65</v>
      </c>
      <c r="D309" s="7" t="s">
        <v>665</v>
      </c>
      <c r="E309" s="7" t="s">
        <v>666</v>
      </c>
      <c r="F309" s="7"/>
      <c r="G309" s="7"/>
      <c r="H309" s="7" t="s">
        <v>28</v>
      </c>
      <c r="I309" s="7"/>
    </row>
    <row r="310" spans="1:9" ht="17.25">
      <c r="A310" s="7" t="str">
        <f xml:space="preserve"> "MA" &amp; LEFT(B310,3) &amp; TEXT(COUNTIF($B$2:B310,B310),"000")</f>
        <v>MARIQ007</v>
      </c>
      <c r="B310" s="7" t="s">
        <v>654</v>
      </c>
      <c r="C310" s="7" t="s">
        <v>9</v>
      </c>
      <c r="D310" s="7" t="s">
        <v>667</v>
      </c>
      <c r="E310" s="7" t="s">
        <v>668</v>
      </c>
      <c r="F310" s="7"/>
      <c r="G310" s="7"/>
      <c r="H310" s="7" t="s">
        <v>28</v>
      </c>
      <c r="I310" s="7"/>
    </row>
    <row r="311" spans="1:9" ht="36">
      <c r="A311" s="7" t="str">
        <f xml:space="preserve"> "MA" &amp; LEFT(B311,3) &amp; TEXT(COUNTIF($B$2:B311,B311),"000")</f>
        <v>MARIQ008</v>
      </c>
      <c r="B311" s="7" t="s">
        <v>654</v>
      </c>
      <c r="C311" s="7" t="s">
        <v>9</v>
      </c>
      <c r="D311" s="7" t="s">
        <v>669</v>
      </c>
      <c r="E311" s="7" t="s">
        <v>670</v>
      </c>
      <c r="F311" s="7"/>
      <c r="G311" s="7"/>
      <c r="H311" s="7" t="s">
        <v>28</v>
      </c>
      <c r="I311" s="7"/>
    </row>
    <row r="312" spans="1:9" ht="36">
      <c r="A312" s="7" t="str">
        <f xml:space="preserve"> "MA" &amp; LEFT(B312,3) &amp; TEXT(COUNTIF($B$2:B312,B312),"000")</f>
        <v>MARIQ009</v>
      </c>
      <c r="B312" s="7" t="s">
        <v>654</v>
      </c>
      <c r="C312" s="7" t="s">
        <v>65</v>
      </c>
      <c r="D312" s="7" t="s">
        <v>671</v>
      </c>
      <c r="E312" s="7" t="s">
        <v>672</v>
      </c>
      <c r="F312" s="7"/>
      <c r="G312" s="7"/>
      <c r="H312" s="7" t="s">
        <v>28</v>
      </c>
      <c r="I312" s="7"/>
    </row>
    <row r="313" spans="1:9" ht="36">
      <c r="A313" s="7" t="str">
        <f xml:space="preserve"> "MA" &amp; LEFT(B313,3) &amp; TEXT(COUNTIF($B$2:B313,B313),"000")</f>
        <v>MARIQ010</v>
      </c>
      <c r="B313" s="7" t="s">
        <v>654</v>
      </c>
      <c r="C313" s="7" t="s">
        <v>9</v>
      </c>
      <c r="D313" s="7" t="s">
        <v>673</v>
      </c>
      <c r="E313" s="7" t="s">
        <v>674</v>
      </c>
      <c r="F313" s="7"/>
      <c r="G313" s="7"/>
      <c r="H313" s="7" t="s">
        <v>43</v>
      </c>
      <c r="I313" s="7"/>
    </row>
    <row r="314" spans="1:9" ht="36">
      <c r="A314" s="7" t="str">
        <f xml:space="preserve"> "MA" &amp; LEFT(B314,3) &amp; TEXT(COUNTIF($B$2:B314,B314),"000")</f>
        <v>MARIQ011</v>
      </c>
      <c r="B314" s="7" t="s">
        <v>654</v>
      </c>
      <c r="C314" s="7" t="s">
        <v>65</v>
      </c>
      <c r="D314" s="7" t="s">
        <v>675</v>
      </c>
      <c r="E314" s="7" t="s">
        <v>676</v>
      </c>
      <c r="F314" s="7"/>
      <c r="G314" s="7"/>
      <c r="H314" s="7" t="s">
        <v>28</v>
      </c>
      <c r="I314" s="7"/>
    </row>
    <row r="315" spans="1:9" ht="36">
      <c r="A315" s="7" t="str">
        <f xml:space="preserve"> "MA" &amp; LEFT(B315,3) &amp; TEXT(COUNTIF($B$2:B315,B315),"000")</f>
        <v>MATRA001</v>
      </c>
      <c r="B315" s="7" t="s">
        <v>677</v>
      </c>
      <c r="C315" s="7" t="s">
        <v>65</v>
      </c>
      <c r="D315" s="7" t="s">
        <v>678</v>
      </c>
      <c r="E315" s="7" t="s">
        <v>679</v>
      </c>
      <c r="F315" s="7"/>
      <c r="G315" s="7"/>
      <c r="H315" s="7" t="s">
        <v>43</v>
      </c>
      <c r="I315" s="7"/>
    </row>
    <row r="316" spans="1:9" ht="36">
      <c r="A316" s="7" t="str">
        <f xml:space="preserve"> "MA" &amp; LEFT(B316,3) &amp; TEXT(COUNTIF($B$2:B316,B316),"000")</f>
        <v>MATRA002</v>
      </c>
      <c r="B316" s="7" t="s">
        <v>677</v>
      </c>
      <c r="C316" s="7" t="s">
        <v>65</v>
      </c>
      <c r="D316" s="7" t="s">
        <v>680</v>
      </c>
      <c r="E316" s="7" t="s">
        <v>681</v>
      </c>
      <c r="F316" s="7"/>
      <c r="G316" s="7"/>
      <c r="H316" s="7" t="s">
        <v>43</v>
      </c>
      <c r="I316" s="7"/>
    </row>
    <row r="317" spans="1:9" ht="36">
      <c r="A317" s="7" t="str">
        <f xml:space="preserve"> "MA" &amp; LEFT(B317,3) &amp; TEXT(COUNTIF($B$2:B317,B317),"000")</f>
        <v>MATRA003</v>
      </c>
      <c r="B317" s="7" t="s">
        <v>677</v>
      </c>
      <c r="C317" s="7" t="s">
        <v>65</v>
      </c>
      <c r="D317" s="7" t="s">
        <v>682</v>
      </c>
      <c r="E317" s="7" t="s">
        <v>683</v>
      </c>
      <c r="F317" s="7"/>
      <c r="G317" s="7"/>
      <c r="H317" s="7" t="s">
        <v>127</v>
      </c>
      <c r="I317" s="7"/>
    </row>
    <row r="318" spans="1:9" ht="36">
      <c r="A318" s="7" t="str">
        <f xml:space="preserve"> "MA" &amp; LEFT(B318,3) &amp; TEXT(COUNTIF($B$2:B318,B318),"000")</f>
        <v>MATRA004</v>
      </c>
      <c r="B318" s="7" t="s">
        <v>677</v>
      </c>
      <c r="C318" s="7" t="s">
        <v>65</v>
      </c>
      <c r="D318" s="7" t="s">
        <v>684</v>
      </c>
      <c r="E318" s="7" t="s">
        <v>685</v>
      </c>
      <c r="F318" s="7"/>
      <c r="G318" s="7"/>
      <c r="H318" s="7" t="s">
        <v>127</v>
      </c>
      <c r="I318" s="7"/>
    </row>
    <row r="319" spans="1:9" ht="36">
      <c r="A319" s="7" t="str">
        <f xml:space="preserve"> "MA" &amp; LEFT(B319,3) &amp; TEXT(COUNTIF($B$2:B319,B319),"000")</f>
        <v>MATRA005</v>
      </c>
      <c r="B319" s="7" t="s">
        <v>677</v>
      </c>
      <c r="C319" s="7" t="s">
        <v>65</v>
      </c>
      <c r="D319" s="7" t="s">
        <v>686</v>
      </c>
      <c r="E319" s="7" t="s">
        <v>687</v>
      </c>
      <c r="F319" s="7"/>
      <c r="G319" s="7"/>
      <c r="H319" s="7" t="s">
        <v>43</v>
      </c>
      <c r="I319" s="7"/>
    </row>
    <row r="320" spans="1:9" ht="36">
      <c r="A320" s="7" t="str">
        <f xml:space="preserve"> "MA" &amp; LEFT(B320,3) &amp; TEXT(COUNTIF($B$2:B320,B320),"000")</f>
        <v>MATRA006</v>
      </c>
      <c r="B320" s="7" t="s">
        <v>677</v>
      </c>
      <c r="C320" s="7" t="s">
        <v>65</v>
      </c>
      <c r="D320" s="7" t="s">
        <v>688</v>
      </c>
      <c r="E320" s="7" t="s">
        <v>689</v>
      </c>
      <c r="F320" s="7"/>
      <c r="G320" s="7"/>
      <c r="H320" s="7" t="s">
        <v>43</v>
      </c>
      <c r="I320" s="7"/>
    </row>
    <row r="321" spans="1:9" ht="36">
      <c r="A321" s="7" t="str">
        <f xml:space="preserve"> "MA" &amp; LEFT(B321,3) &amp; TEXT(COUNTIF($B$2:B321,B321),"000")</f>
        <v>MATRA007</v>
      </c>
      <c r="B321" s="7" t="s">
        <v>677</v>
      </c>
      <c r="C321" s="7" t="s">
        <v>65</v>
      </c>
      <c r="D321" s="7" t="s">
        <v>690</v>
      </c>
      <c r="E321" s="7" t="s">
        <v>691</v>
      </c>
      <c r="F321" s="7"/>
      <c r="G321" s="7"/>
      <c r="H321" s="7" t="s">
        <v>43</v>
      </c>
      <c r="I321" s="7"/>
    </row>
    <row r="322" spans="1:9" ht="36">
      <c r="A322" s="7" t="str">
        <f xml:space="preserve"> "MA" &amp; LEFT(B322,3) &amp; TEXT(COUNTIF($B$2:B322,B322),"000")</f>
        <v>MATRA008</v>
      </c>
      <c r="B322" s="7" t="s">
        <v>677</v>
      </c>
      <c r="C322" s="7" t="s">
        <v>65</v>
      </c>
      <c r="D322" s="7" t="s">
        <v>692</v>
      </c>
      <c r="E322" s="7" t="s">
        <v>693</v>
      </c>
      <c r="F322" s="7"/>
      <c r="G322" s="7"/>
      <c r="H322" s="7"/>
      <c r="I322" s="7"/>
    </row>
    <row r="323" spans="1:9" ht="36">
      <c r="A323" s="7" t="str">
        <f xml:space="preserve"> "MA" &amp; LEFT(B323,3) &amp; TEXT(COUNTIF($B$2:B323,B323),"000")</f>
        <v>MATRA009</v>
      </c>
      <c r="B323" s="7" t="s">
        <v>677</v>
      </c>
      <c r="C323" s="7" t="s">
        <v>65</v>
      </c>
      <c r="D323" s="7" t="s">
        <v>694</v>
      </c>
      <c r="E323" s="7" t="s">
        <v>695</v>
      </c>
      <c r="F323" s="7"/>
      <c r="G323" s="7"/>
      <c r="H323" s="7"/>
      <c r="I323" s="7"/>
    </row>
    <row r="324" spans="1:9" ht="36">
      <c r="A324" s="7" t="str">
        <f xml:space="preserve"> "MA" &amp; LEFT(B324,3) &amp; TEXT(COUNTIF($B$2:B324,B324),"000")</f>
        <v>MAVIN001</v>
      </c>
      <c r="B324" s="7" t="s">
        <v>696</v>
      </c>
      <c r="C324" s="7" t="s">
        <v>13</v>
      </c>
      <c r="D324" s="7" t="s">
        <v>697</v>
      </c>
      <c r="E324" s="7" t="s">
        <v>698</v>
      </c>
      <c r="F324" s="7"/>
      <c r="G324" s="7"/>
      <c r="H324" s="7" t="s">
        <v>12</v>
      </c>
      <c r="I324" s="7"/>
    </row>
    <row r="325" spans="1:9" ht="36">
      <c r="A325" s="7" t="str">
        <f xml:space="preserve"> "MA" &amp; LEFT(B325,3) &amp; TEXT(COUNTIF($B$2:B325,B325),"000")</f>
        <v>MAVIN002</v>
      </c>
      <c r="B325" s="7" t="s">
        <v>696</v>
      </c>
      <c r="C325" s="7" t="s">
        <v>20</v>
      </c>
      <c r="D325" s="7" t="s">
        <v>699</v>
      </c>
      <c r="E325" s="7" t="s">
        <v>700</v>
      </c>
      <c r="F325" s="7" t="s">
        <v>701</v>
      </c>
      <c r="G325" s="7"/>
      <c r="H325" s="7" t="s">
        <v>23</v>
      </c>
      <c r="I325" s="7"/>
    </row>
    <row r="326" spans="1:9" ht="36">
      <c r="A326" s="7" t="str">
        <f xml:space="preserve"> "MA" &amp; LEFT(B326,3) &amp; TEXT(COUNTIF($B$2:B326,B326),"000")</f>
        <v>MAVIN003</v>
      </c>
      <c r="B326" s="7" t="s">
        <v>696</v>
      </c>
      <c r="C326" s="7" t="s">
        <v>702</v>
      </c>
      <c r="D326" s="7" t="s">
        <v>703</v>
      </c>
      <c r="E326" s="7" t="s">
        <v>704</v>
      </c>
      <c r="F326" s="7"/>
      <c r="G326" s="7"/>
      <c r="H326" s="7" t="s">
        <v>23</v>
      </c>
      <c r="I326" s="7"/>
    </row>
    <row r="327" spans="1:9" ht="36">
      <c r="A327" s="7" t="str">
        <f xml:space="preserve"> "MA" &amp; LEFT(B327,3) &amp; TEXT(COUNTIF($B$2:B327,B327),"000")</f>
        <v>MAVIN004</v>
      </c>
      <c r="B327" s="7" t="s">
        <v>696</v>
      </c>
      <c r="C327" s="7" t="s">
        <v>702</v>
      </c>
      <c r="D327" s="7" t="s">
        <v>705</v>
      </c>
      <c r="E327" s="7" t="s">
        <v>706</v>
      </c>
      <c r="F327" s="7"/>
      <c r="G327" s="7"/>
      <c r="H327" s="7" t="s">
        <v>23</v>
      </c>
      <c r="I327" s="7"/>
    </row>
    <row r="328" spans="1:9" ht="36">
      <c r="A328" s="7" t="str">
        <f xml:space="preserve"> "MA" &amp; LEFT(B328,3) &amp; TEXT(COUNTIF($B$2:B328,B328),"000")</f>
        <v>MAVIN005</v>
      </c>
      <c r="B328" s="7" t="s">
        <v>696</v>
      </c>
      <c r="C328" s="7" t="s">
        <v>236</v>
      </c>
      <c r="D328" s="7" t="s">
        <v>707</v>
      </c>
      <c r="E328" s="7" t="s">
        <v>708</v>
      </c>
      <c r="F328" s="7"/>
      <c r="G328" s="7"/>
      <c r="H328" s="7" t="s">
        <v>23</v>
      </c>
      <c r="I328" s="7"/>
    </row>
    <row r="329" spans="1:9" ht="53.25">
      <c r="A329" s="7" t="str">
        <f xml:space="preserve"> "MA" &amp; LEFT(B329,3) &amp; TEXT(COUNTIF($B$2:B329,B329),"000")</f>
        <v>MAVIN006</v>
      </c>
      <c r="B329" s="7" t="s">
        <v>696</v>
      </c>
      <c r="C329" s="7" t="s">
        <v>20</v>
      </c>
      <c r="D329" s="7" t="s">
        <v>709</v>
      </c>
      <c r="E329" s="7" t="s">
        <v>710</v>
      </c>
      <c r="F329" s="7"/>
      <c r="G329" s="7"/>
      <c r="H329" s="7" t="s">
        <v>88</v>
      </c>
      <c r="I329" s="7"/>
    </row>
    <row r="330" spans="1:9" ht="53.25">
      <c r="A330" s="7" t="str">
        <f xml:space="preserve"> "MA" &amp; LEFT(B330,3) &amp; TEXT(COUNTIF($B$2:B330,B330),"000")</f>
        <v>MAVIN007</v>
      </c>
      <c r="B330" s="7" t="s">
        <v>696</v>
      </c>
      <c r="C330" s="7" t="s">
        <v>20</v>
      </c>
      <c r="D330" s="7" t="s">
        <v>711</v>
      </c>
      <c r="E330" s="7" t="s">
        <v>712</v>
      </c>
      <c r="F330" s="7"/>
      <c r="G330" s="7"/>
      <c r="H330" s="7" t="s">
        <v>88</v>
      </c>
      <c r="I330" s="7"/>
    </row>
    <row r="331" spans="1:9" ht="36">
      <c r="A331" s="7" t="str">
        <f xml:space="preserve"> "MA" &amp; LEFT(B331,3) &amp; TEXT(COUNTIF($B$2:B331,B331),"000")</f>
        <v>MAVIN008</v>
      </c>
      <c r="B331" s="7" t="s">
        <v>696</v>
      </c>
      <c r="C331" s="7" t="s">
        <v>20</v>
      </c>
      <c r="D331" s="7" t="s">
        <v>713</v>
      </c>
      <c r="E331" s="7" t="s">
        <v>714</v>
      </c>
      <c r="F331" s="7"/>
      <c r="G331" s="7"/>
      <c r="H331" s="7" t="s">
        <v>28</v>
      </c>
      <c r="I331" s="7"/>
    </row>
    <row r="332" spans="1:9" ht="17.25">
      <c r="A332" s="7" t="str">
        <f xml:space="preserve"> "MA" &amp; LEFT(B332,3) &amp; TEXT(COUNTIF($B$2:B332,B332),"000")</f>
        <v>MAVIN009</v>
      </c>
      <c r="B332" s="7" t="s">
        <v>696</v>
      </c>
      <c r="C332" s="7" t="s">
        <v>20</v>
      </c>
      <c r="D332" s="7" t="s">
        <v>715</v>
      </c>
      <c r="E332" s="7" t="s">
        <v>716</v>
      </c>
      <c r="F332" s="7"/>
      <c r="G332" s="7"/>
      <c r="H332" s="7"/>
      <c r="I332" s="7"/>
    </row>
    <row r="333" spans="1:9" ht="17.25">
      <c r="A333" s="7" t="str">
        <f xml:space="preserve"> "MA" &amp; LEFT(B333,3) &amp; TEXT(COUNTIF($B$2:B333,B333),"000")</f>
        <v>MAVIN010</v>
      </c>
      <c r="B333" s="7" t="s">
        <v>696</v>
      </c>
      <c r="C333" s="7" t="s">
        <v>20</v>
      </c>
      <c r="D333" s="7" t="s">
        <v>717</v>
      </c>
      <c r="E333" s="7" t="s">
        <v>718</v>
      </c>
      <c r="F333" s="7"/>
      <c r="G333" s="7"/>
      <c r="H333" s="7" t="s">
        <v>28</v>
      </c>
      <c r="I333" s="7"/>
    </row>
    <row r="334" spans="1:9" ht="21.75" customHeight="1">
      <c r="A334" s="7" t="str">
        <f xml:space="preserve"> "MA" &amp; LEFT(B334,3) &amp; TEXT(COUNTIF($B$2:B334,B334),"000")</f>
        <v>MAVIN011</v>
      </c>
      <c r="B334" s="7" t="s">
        <v>696</v>
      </c>
      <c r="C334" s="7" t="s">
        <v>65</v>
      </c>
      <c r="D334" s="7" t="s">
        <v>719</v>
      </c>
      <c r="E334" s="7" t="s">
        <v>720</v>
      </c>
      <c r="F334" s="7"/>
      <c r="G334" s="7"/>
      <c r="H334" s="7"/>
      <c r="I334" s="7"/>
    </row>
    <row r="335" spans="1:9" ht="17.25">
      <c r="A335" s="7" t="str">
        <f xml:space="preserve"> "MA" &amp; LEFT(B335,3) &amp; TEXT(COUNTIF($B$2:B335,B335),"000")</f>
        <v>MAVIN012</v>
      </c>
      <c r="B335" s="7" t="s">
        <v>696</v>
      </c>
      <c r="C335" s="7" t="s">
        <v>65</v>
      </c>
      <c r="D335" s="7" t="s">
        <v>721</v>
      </c>
      <c r="E335" s="7" t="s">
        <v>722</v>
      </c>
      <c r="F335" s="7"/>
      <c r="G335" s="7"/>
      <c r="H335" s="7"/>
      <c r="I335" s="7"/>
    </row>
    <row r="336" spans="1:9" ht="36">
      <c r="A336" s="7" t="str">
        <f xml:space="preserve"> "MA" &amp; LEFT(B336,3) &amp; TEXT(COUNTIF($B$2:B336,B336),"000")</f>
        <v>MAVIN013</v>
      </c>
      <c r="B336" s="7" t="s">
        <v>696</v>
      </c>
      <c r="C336" s="7" t="s">
        <v>9</v>
      </c>
      <c r="D336" s="7" t="s">
        <v>723</v>
      </c>
      <c r="E336" s="7" t="s">
        <v>724</v>
      </c>
      <c r="F336" s="7" t="s">
        <v>725</v>
      </c>
      <c r="G336" s="7"/>
      <c r="H336" s="7" t="s">
        <v>43</v>
      </c>
      <c r="I336" s="7"/>
    </row>
    <row r="337" spans="1:9" ht="36">
      <c r="A337" s="7" t="str">
        <f xml:space="preserve"> "MA" &amp; LEFT(B337,3) &amp; TEXT(COUNTIF($B$2:B337,B337),"000")</f>
        <v>MAVIN014</v>
      </c>
      <c r="B337" s="7" t="s">
        <v>696</v>
      </c>
      <c r="C337" s="7" t="s">
        <v>9</v>
      </c>
      <c r="D337" s="7" t="s">
        <v>726</v>
      </c>
      <c r="E337" s="7" t="s">
        <v>727</v>
      </c>
      <c r="F337" s="7"/>
      <c r="G337" s="7"/>
      <c r="H337" s="7" t="s">
        <v>23</v>
      </c>
      <c r="I337" s="7"/>
    </row>
    <row r="338" spans="1:9" ht="30.75" customHeight="1">
      <c r="A338" s="7" t="str">
        <f xml:space="preserve"> "MA" &amp; LEFT(B338,3) &amp; TEXT(COUNTIF($B$2:B338,B338),"000")</f>
        <v>MAVIN015</v>
      </c>
      <c r="B338" s="7" t="s">
        <v>696</v>
      </c>
      <c r="C338" s="7" t="s">
        <v>9</v>
      </c>
      <c r="D338" s="7" t="s">
        <v>728</v>
      </c>
      <c r="E338" s="7" t="s">
        <v>729</v>
      </c>
      <c r="F338" s="7"/>
      <c r="G338" s="7"/>
      <c r="H338" s="7" t="s">
        <v>28</v>
      </c>
      <c r="I338" s="7"/>
    </row>
    <row r="339" spans="1:9" ht="36">
      <c r="A339" s="7" t="str">
        <f xml:space="preserve"> "MA" &amp; LEFT(B339,3) &amp; TEXT(COUNTIF($B$2:B339,B339),"000")</f>
        <v>MAVIN016</v>
      </c>
      <c r="B339" s="7" t="s">
        <v>696</v>
      </c>
      <c r="C339" s="7" t="s">
        <v>20</v>
      </c>
      <c r="D339" s="7" t="s">
        <v>730</v>
      </c>
      <c r="E339" s="7" t="s">
        <v>731</v>
      </c>
      <c r="F339" s="7"/>
      <c r="G339" s="7"/>
      <c r="H339" s="7" t="s">
        <v>23</v>
      </c>
      <c r="I339" s="7"/>
    </row>
    <row r="340" spans="1:9" ht="36">
      <c r="A340" s="7" t="str">
        <f xml:space="preserve"> "MA" &amp; LEFT(B340,3) &amp; TEXT(COUNTIF($B$2:B340,B340),"000")</f>
        <v>MAVIN017</v>
      </c>
      <c r="B340" s="7" t="s">
        <v>696</v>
      </c>
      <c r="C340" s="7" t="s">
        <v>20</v>
      </c>
      <c r="D340" s="7" t="s">
        <v>732</v>
      </c>
      <c r="E340" s="7" t="s">
        <v>733</v>
      </c>
      <c r="F340" s="7"/>
      <c r="G340" s="7"/>
      <c r="H340" s="7" t="s">
        <v>23</v>
      </c>
      <c r="I340" s="7"/>
    </row>
    <row r="341" spans="1:9" ht="36">
      <c r="A341" s="7" t="str">
        <f xml:space="preserve"> "MA" &amp; LEFT(B341,3) &amp; TEXT(COUNTIF($B$2:B341,B341),"000")</f>
        <v>MAVIN018</v>
      </c>
      <c r="B341" s="7" t="s">
        <v>696</v>
      </c>
      <c r="C341" s="7" t="s">
        <v>20</v>
      </c>
      <c r="D341" s="7" t="s">
        <v>734</v>
      </c>
      <c r="E341" s="7" t="s">
        <v>735</v>
      </c>
      <c r="F341" s="7"/>
      <c r="G341" s="7" t="s">
        <v>518</v>
      </c>
      <c r="H341" s="7" t="s">
        <v>16</v>
      </c>
      <c r="I341" s="7"/>
    </row>
    <row r="342" spans="1:9" ht="36">
      <c r="A342" s="7" t="str">
        <f xml:space="preserve"> "MA" &amp; LEFT(B342,3) &amp; TEXT(COUNTIF($B$2:B342,B342),"000")</f>
        <v>MAVIN019</v>
      </c>
      <c r="B342" s="7" t="s">
        <v>696</v>
      </c>
      <c r="C342" s="7" t="s">
        <v>20</v>
      </c>
      <c r="D342" s="7" t="s">
        <v>736</v>
      </c>
      <c r="E342" s="7" t="s">
        <v>737</v>
      </c>
      <c r="F342" s="7"/>
      <c r="G342" s="7"/>
      <c r="H342" s="7" t="s">
        <v>16</v>
      </c>
      <c r="I342" s="7"/>
    </row>
    <row r="343" spans="1:9" ht="36">
      <c r="A343" s="7" t="str">
        <f xml:space="preserve"> "MA" &amp; LEFT(B343,3) &amp; TEXT(COUNTIF($B$2:B343,B343),"000")</f>
        <v>MAVIN020</v>
      </c>
      <c r="B343" s="7" t="s">
        <v>696</v>
      </c>
      <c r="C343" s="7" t="s">
        <v>20</v>
      </c>
      <c r="D343" s="7" t="s">
        <v>738</v>
      </c>
      <c r="E343" s="7" t="s">
        <v>739</v>
      </c>
      <c r="F343" s="7"/>
      <c r="G343" s="7"/>
      <c r="H343" s="7" t="s">
        <v>23</v>
      </c>
      <c r="I343" s="7"/>
    </row>
    <row r="344" spans="1:9" ht="36">
      <c r="A344" s="7" t="str">
        <f xml:space="preserve"> "MA" &amp; LEFT(B344,3) &amp; TEXT(COUNTIF($B$2:B344,B344),"000")</f>
        <v>MAVIN021</v>
      </c>
      <c r="B344" s="7" t="s">
        <v>696</v>
      </c>
      <c r="C344" s="7" t="s">
        <v>20</v>
      </c>
      <c r="D344" s="7" t="s">
        <v>740</v>
      </c>
      <c r="E344" s="7" t="s">
        <v>741</v>
      </c>
      <c r="F344" s="7"/>
      <c r="G344" s="7"/>
      <c r="H344" s="7" t="s">
        <v>28</v>
      </c>
      <c r="I344" s="7"/>
    </row>
    <row r="345" spans="1:9" ht="36">
      <c r="A345" s="7" t="str">
        <f xml:space="preserve"> "MA" &amp; LEFT(B345,3) &amp; TEXT(COUNTIF($B$2:B345,B345),"000")</f>
        <v>MAVIN022</v>
      </c>
      <c r="B345" s="7" t="s">
        <v>696</v>
      </c>
      <c r="C345" s="7" t="s">
        <v>20</v>
      </c>
      <c r="D345" s="7" t="s">
        <v>742</v>
      </c>
      <c r="E345" s="7" t="s">
        <v>743</v>
      </c>
      <c r="F345" s="7"/>
      <c r="G345" s="7"/>
      <c r="H345" s="7" t="s">
        <v>43</v>
      </c>
      <c r="I345" s="7"/>
    </row>
    <row r="346" spans="1:9" ht="36">
      <c r="A346" s="7" t="str">
        <f xml:space="preserve"> "MA" &amp; LEFT(B346,3) &amp; TEXT(COUNTIF($B$2:B346,B346),"000")</f>
        <v>MAVIN023</v>
      </c>
      <c r="B346" s="7" t="s">
        <v>696</v>
      </c>
      <c r="C346" s="7" t="s">
        <v>20</v>
      </c>
      <c r="D346" s="7" t="s">
        <v>744</v>
      </c>
      <c r="E346" s="7" t="s">
        <v>745</v>
      </c>
      <c r="F346" s="7"/>
      <c r="G346" s="7"/>
      <c r="H346" s="7" t="s">
        <v>43</v>
      </c>
      <c r="I346" s="7"/>
    </row>
    <row r="347" spans="1:9" ht="36">
      <c r="A347" s="7" t="str">
        <f xml:space="preserve"> "MA" &amp; LEFT(B347,3) &amp; TEXT(COUNTIF($B$2:B347,B347),"000")</f>
        <v>MAVIN024</v>
      </c>
      <c r="B347" s="7" t="s">
        <v>696</v>
      </c>
      <c r="C347" s="7" t="s">
        <v>20</v>
      </c>
      <c r="D347" s="7" t="s">
        <v>746</v>
      </c>
      <c r="E347" s="7" t="s">
        <v>747</v>
      </c>
      <c r="F347" s="7"/>
      <c r="G347" s="7"/>
      <c r="H347" s="7"/>
      <c r="I347" s="7"/>
    </row>
    <row r="348" spans="1:9" ht="36">
      <c r="A348" s="7" t="str">
        <f xml:space="preserve"> "MA" &amp; LEFT(B348,3) &amp; TEXT(COUNTIF($B$2:B348,B348),"000")</f>
        <v>MAVIN025</v>
      </c>
      <c r="B348" s="7" t="s">
        <v>696</v>
      </c>
      <c r="C348" s="7" t="s">
        <v>20</v>
      </c>
      <c r="D348" s="7" t="s">
        <v>748</v>
      </c>
      <c r="E348" s="7" t="s">
        <v>749</v>
      </c>
      <c r="F348" s="7"/>
      <c r="G348" s="7"/>
      <c r="H348" s="7"/>
      <c r="I348" s="7"/>
    </row>
    <row r="349" spans="1:9" ht="17.25">
      <c r="A349" s="7" t="str">
        <f xml:space="preserve"> "MA" &amp; LEFT(B349,3) &amp; TEXT(COUNTIF($B$2:B349,B349),"000")</f>
        <v>MAVIN026</v>
      </c>
      <c r="B349" s="7" t="s">
        <v>696</v>
      </c>
      <c r="C349" s="7" t="s">
        <v>20</v>
      </c>
      <c r="D349" s="7" t="s">
        <v>750</v>
      </c>
      <c r="E349" s="7" t="s">
        <v>751</v>
      </c>
      <c r="F349" s="7"/>
      <c r="G349" s="7" t="s">
        <v>752</v>
      </c>
      <c r="H349" s="7"/>
      <c r="I349" s="7"/>
    </row>
    <row r="350" spans="1:9" ht="36">
      <c r="A350" s="7" t="str">
        <f xml:space="preserve"> "MA" &amp; LEFT(B350,3) &amp; TEXT(COUNTIF($B$2:B350,B350),"000")</f>
        <v>MARIQ012</v>
      </c>
      <c r="B350" s="7" t="s">
        <v>654</v>
      </c>
      <c r="C350" s="7" t="s">
        <v>65</v>
      </c>
      <c r="D350" s="7" t="s">
        <v>753</v>
      </c>
      <c r="E350" s="7" t="s">
        <v>754</v>
      </c>
      <c r="F350" s="7"/>
      <c r="G350" s="7"/>
      <c r="H350" s="7"/>
      <c r="I350" s="7"/>
    </row>
    <row r="351" spans="1:9" ht="15">
      <c r="A351" s="7"/>
      <c r="B351" s="7"/>
      <c r="C351" s="7"/>
      <c r="D351" s="7"/>
      <c r="E351" s="7"/>
      <c r="F351" s="7"/>
      <c r="G351" s="7"/>
      <c r="H351" s="7"/>
      <c r="I351" s="7"/>
    </row>
    <row r="352" spans="1:9" ht="15">
      <c r="A352" s="7"/>
      <c r="B352" s="7"/>
      <c r="C352" s="7"/>
      <c r="D352" s="7"/>
      <c r="E352" s="7"/>
      <c r="F352" s="7"/>
      <c r="G352" s="7"/>
      <c r="H352" s="7"/>
      <c r="I352" s="7"/>
    </row>
    <row r="353" spans="1:9" ht="15">
      <c r="A353" s="7"/>
      <c r="B353" s="7"/>
      <c r="C353" s="7"/>
      <c r="D353" s="7"/>
      <c r="E353" s="7"/>
      <c r="F353" s="7"/>
      <c r="G353" s="7"/>
      <c r="H353" s="7"/>
      <c r="I353" s="7"/>
    </row>
    <row r="354" spans="1:9" ht="15">
      <c r="A354" s="7"/>
      <c r="B354" s="7"/>
      <c r="C354" s="7"/>
      <c r="D354" s="7"/>
      <c r="E354" s="7"/>
      <c r="F354" s="7"/>
      <c r="G354" s="7"/>
      <c r="H354" s="7"/>
      <c r="I354" s="7"/>
    </row>
    <row r="355" spans="1:9" ht="15">
      <c r="A355" s="7"/>
      <c r="B355" s="7"/>
      <c r="C355" s="7"/>
      <c r="D355" s="7"/>
      <c r="E355" s="7"/>
      <c r="F355" s="7"/>
      <c r="G355" s="7"/>
      <c r="H355" s="7"/>
      <c r="I355" s="7"/>
    </row>
    <row r="356" spans="1:9" ht="15">
      <c r="A356" s="7"/>
      <c r="B356" s="7"/>
      <c r="C356" s="7"/>
      <c r="D356" s="7"/>
      <c r="E356" s="7"/>
      <c r="F356" s="7"/>
      <c r="G356" s="7"/>
      <c r="H356" s="7"/>
      <c r="I356" s="7"/>
    </row>
    <row r="357" spans="1:9" ht="15">
      <c r="A357" s="7"/>
      <c r="B357" s="7"/>
      <c r="C357" s="7"/>
      <c r="D357" s="7"/>
      <c r="E357" s="7"/>
      <c r="F357" s="7"/>
      <c r="G357" s="7"/>
      <c r="H357" s="7"/>
      <c r="I357" s="7"/>
    </row>
    <row r="358" spans="1:9" ht="15">
      <c r="A358" s="7"/>
      <c r="B358" s="7"/>
      <c r="C358" s="7"/>
      <c r="D358" s="7"/>
      <c r="E358" s="7"/>
      <c r="F358" s="7"/>
      <c r="G358" s="7"/>
      <c r="H358" s="7"/>
      <c r="I358" s="7"/>
    </row>
    <row r="359" spans="1:9" ht="15">
      <c r="A359" s="7"/>
      <c r="B359" s="7"/>
      <c r="C359" s="7"/>
      <c r="D359" s="7"/>
      <c r="E359" s="7"/>
      <c r="F359" s="7"/>
      <c r="G359" s="7"/>
      <c r="H359" s="7"/>
      <c r="I359" s="7"/>
    </row>
    <row r="360" spans="1:9" ht="15">
      <c r="A360" s="7"/>
      <c r="B360" s="7"/>
      <c r="C360" s="7"/>
      <c r="D360" s="7"/>
      <c r="E360" s="7"/>
      <c r="F360" s="7"/>
      <c r="G360" s="7"/>
      <c r="H360" s="7"/>
      <c r="I360" s="7"/>
    </row>
    <row r="361" spans="1:9" ht="15">
      <c r="A361" s="7"/>
      <c r="B361" s="7"/>
      <c r="C361" s="7"/>
      <c r="D361" s="7"/>
      <c r="E361" s="7"/>
      <c r="F361" s="7"/>
      <c r="G361" s="7"/>
      <c r="H361" s="7"/>
      <c r="I361" s="7"/>
    </row>
    <row r="362" spans="1:9" ht="15">
      <c r="A362" s="7"/>
      <c r="B362" s="7"/>
      <c r="C362" s="7"/>
      <c r="D362" s="7"/>
      <c r="E362" s="7"/>
      <c r="F362" s="7"/>
      <c r="G362" s="7"/>
      <c r="H362" s="7"/>
      <c r="I362" s="7"/>
    </row>
  </sheetData>
  <autoFilter ref="A1:H350" xr:uid="{13B10BDE-F408-480D-8273-BEBF93B14875}">
    <sortState xmlns:xlrd2="http://schemas.microsoft.com/office/spreadsheetml/2017/richdata2" ref="A2:H350">
      <sortCondition ref="B1:B35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160D-12FE-4437-A5D7-AAEA5A511E84}">
  <dimension ref="A1:C24"/>
  <sheetViews>
    <sheetView showGridLines="0" workbookViewId="0">
      <selection activeCell="B10" sqref="B10"/>
    </sheetView>
  </sheetViews>
  <sheetFormatPr defaultRowHeight="15"/>
  <cols>
    <col min="1" max="1" width="24.28515625" style="9" customWidth="1"/>
    <col min="2" max="2" width="69.85546875" style="9" customWidth="1"/>
    <col min="3" max="3" width="17.5703125" style="9" bestFit="1" customWidth="1"/>
  </cols>
  <sheetData>
    <row r="1" spans="1:3" ht="15.75">
      <c r="A1" s="8" t="s">
        <v>755</v>
      </c>
    </row>
    <row r="2" spans="1:3">
      <c r="A2" s="10" t="s">
        <v>756</v>
      </c>
      <c r="B2" s="10" t="s">
        <v>757</v>
      </c>
    </row>
    <row r="3" spans="1:3" ht="15.75">
      <c r="A3" s="11" t="s">
        <v>758</v>
      </c>
      <c r="B3" s="12" t="s">
        <v>759</v>
      </c>
      <c r="C3" s="13" t="s">
        <v>760</v>
      </c>
    </row>
    <row r="4" spans="1:3">
      <c r="A4" s="14" t="s">
        <v>761</v>
      </c>
      <c r="B4" s="15" t="s">
        <v>762</v>
      </c>
      <c r="C4" s="16" t="s">
        <v>763</v>
      </c>
    </row>
    <row r="5" spans="1:3">
      <c r="A5" s="10" t="s">
        <v>764</v>
      </c>
      <c r="B5" s="17" t="s">
        <v>765</v>
      </c>
      <c r="C5" s="18" t="s">
        <v>766</v>
      </c>
    </row>
    <row r="6" spans="1:3">
      <c r="A6" s="19" t="s">
        <v>767</v>
      </c>
      <c r="B6" s="20" t="s">
        <v>768</v>
      </c>
      <c r="C6" s="21" t="s">
        <v>769</v>
      </c>
    </row>
    <row r="10" spans="1:3" ht="15.75">
      <c r="A10" s="8" t="s">
        <v>770</v>
      </c>
    </row>
    <row r="11" spans="1:3" ht="15.75">
      <c r="A11" s="11" t="s">
        <v>1</v>
      </c>
      <c r="B11" s="25" t="s">
        <v>771</v>
      </c>
      <c r="C11" s="25"/>
    </row>
    <row r="12" spans="1:3" ht="45.75" customHeight="1">
      <c r="A12" s="22" t="s">
        <v>772</v>
      </c>
      <c r="B12" s="24" t="s">
        <v>773</v>
      </c>
      <c r="C12" s="24"/>
    </row>
    <row r="13" spans="1:3" ht="59.25" customHeight="1">
      <c r="A13" s="22" t="s">
        <v>774</v>
      </c>
      <c r="B13" s="24" t="s">
        <v>775</v>
      </c>
      <c r="C13" s="24"/>
    </row>
    <row r="14" spans="1:3" ht="63.75" customHeight="1">
      <c r="A14" s="22" t="s">
        <v>776</v>
      </c>
      <c r="B14" s="24" t="s">
        <v>777</v>
      </c>
      <c r="C14" s="24"/>
    </row>
    <row r="15" spans="1:3" ht="63.75" customHeight="1">
      <c r="A15" s="22" t="s">
        <v>778</v>
      </c>
      <c r="B15" s="24" t="s">
        <v>779</v>
      </c>
      <c r="C15" s="24"/>
    </row>
    <row r="16" spans="1:3" ht="60.75" customHeight="1">
      <c r="A16" s="22" t="s">
        <v>780</v>
      </c>
      <c r="B16" s="24" t="s">
        <v>781</v>
      </c>
      <c r="C16" s="24"/>
    </row>
    <row r="17" spans="1:3" ht="63.75" customHeight="1">
      <c r="A17" s="22" t="s">
        <v>782</v>
      </c>
      <c r="B17" s="24" t="s">
        <v>783</v>
      </c>
      <c r="C17" s="24"/>
    </row>
    <row r="18" spans="1:3">
      <c r="A18" s="22" t="s">
        <v>784</v>
      </c>
      <c r="B18" s="24"/>
      <c r="C18" s="24"/>
    </row>
    <row r="19" spans="1:3" ht="74.25" customHeight="1">
      <c r="A19" s="22" t="s">
        <v>785</v>
      </c>
      <c r="B19" s="24" t="s">
        <v>786</v>
      </c>
      <c r="C19" s="24"/>
    </row>
    <row r="20" spans="1:3" ht="40.5" customHeight="1">
      <c r="A20" s="22" t="s">
        <v>787</v>
      </c>
      <c r="B20" s="24" t="s">
        <v>788</v>
      </c>
      <c r="C20" s="24"/>
    </row>
    <row r="21" spans="1:3" ht="46.5" customHeight="1">
      <c r="A21" s="22" t="s">
        <v>789</v>
      </c>
      <c r="B21" s="24" t="s">
        <v>790</v>
      </c>
      <c r="C21" s="24"/>
    </row>
    <row r="22" spans="1:3" ht="44.25" customHeight="1">
      <c r="A22" s="22" t="s">
        <v>791</v>
      </c>
      <c r="B22" s="24" t="s">
        <v>792</v>
      </c>
      <c r="C22" s="24"/>
    </row>
    <row r="23" spans="1:3" ht="45.75" customHeight="1">
      <c r="A23" s="22" t="s">
        <v>793</v>
      </c>
      <c r="B23" s="24" t="s">
        <v>794</v>
      </c>
      <c r="C23" s="24"/>
    </row>
    <row r="24" spans="1:3" ht="60.75" customHeight="1">
      <c r="A24" s="23" t="s">
        <v>795</v>
      </c>
      <c r="B24" s="24" t="s">
        <v>796</v>
      </c>
      <c r="C24" s="24"/>
    </row>
  </sheetData>
  <mergeCells count="14">
    <mergeCell ref="B19:C19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F1773C7FDDC46A7A5C1545E665E2C" ma:contentTypeVersion="14" ma:contentTypeDescription="Create a new document." ma:contentTypeScope="" ma:versionID="7aa532b29eadd5fb2720c27221554f77">
  <xsd:schema xmlns:xsd="http://www.w3.org/2001/XMLSchema" xmlns:xs="http://www.w3.org/2001/XMLSchema" xmlns:p="http://schemas.microsoft.com/office/2006/metadata/properties" xmlns:ns1="http://schemas.microsoft.com/sharepoint/v3" xmlns:ns2="180f3d0f-f016-4547-bcb4-6be009a6ad8f" xmlns:ns3="8a6372b4-bb6c-48b7-961f-775038dd9c7c" targetNamespace="http://schemas.microsoft.com/office/2006/metadata/properties" ma:root="true" ma:fieldsID="5a7ca9e6f859f492aa28000e4548f453" ns1:_="" ns2:_="" ns3:_="">
    <xsd:import namespace="http://schemas.microsoft.com/sharepoint/v3"/>
    <xsd:import namespace="180f3d0f-f016-4547-bcb4-6be009a6ad8f"/>
    <xsd:import namespace="8a6372b4-bb6c-48b7-961f-775038dd9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f3d0f-f016-4547-bcb4-6be009a6ad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38db39f-7738-422d-bc58-f4dfc41e74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372b4-bb6c-48b7-961f-775038dd9c7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90e16-4a56-48dd-9c1f-60bdf91cb627}" ma:internalName="TaxCatchAll" ma:showField="CatchAllData" ma:web="8a6372b4-bb6c-48b7-961f-775038dd9c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8a6372b4-bb6c-48b7-961f-775038dd9c7c" xsi:nil="true"/>
    <lcf76f155ced4ddcb4097134ff3c332f xmlns="180f3d0f-f016-4547-bcb4-6be009a6ad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C312C7-9A01-4340-A5F0-3FF01BE33275}"/>
</file>

<file path=customXml/itemProps2.xml><?xml version="1.0" encoding="utf-8"?>
<ds:datastoreItem xmlns:ds="http://schemas.openxmlformats.org/officeDocument/2006/customXml" ds:itemID="{F1D6212F-848A-46A7-9B02-316B21D40985}"/>
</file>

<file path=customXml/itemProps3.xml><?xml version="1.0" encoding="utf-8"?>
<ds:datastoreItem xmlns:ds="http://schemas.openxmlformats.org/officeDocument/2006/customXml" ds:itemID="{E6CE074F-0351-4B52-928B-1377F3434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Estefania Villalobos Monge</dc:creator>
  <cp:keywords/>
  <dc:description/>
  <cp:lastModifiedBy/>
  <cp:revision/>
  <dcterms:created xsi:type="dcterms:W3CDTF">2025-10-13T17:04:47Z</dcterms:created>
  <dcterms:modified xsi:type="dcterms:W3CDTF">2025-10-21T22:51:13Z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0x0101003D6F1773C7FDDC46A7A5C1545E665E2C</vt:lpwstr>
  </property>
  <property fmtid="{D5CDD505-2E9C-101B-9397-08002B2CF9AE}" pid="3" name="MediaServiceImageTags">
    <vt:lpwstr/>
  </property>
</Properties>
</file>